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ÁC KHOẢN XE CÔNG TY\NĂM 2026\THANH TOÁN TIỀN XE 99H103.78 (2026)\"/>
    </mc:Choice>
  </mc:AlternateContent>
  <xr:revisionPtr revIDLastSave="0" documentId="13_ncr:1_{A8437C95-1F3F-42C7-A649-0AE7E2522F31}" xr6:coauthVersionLast="47" xr6:coauthVersionMax="47" xr10:uidLastSave="{00000000-0000-0000-0000-000000000000}"/>
  <bookViews>
    <workbookView xWindow="-120" yWindow="-120" windowWidth="20730" windowHeight="11160" firstSheet="6" activeTab="6" xr2:uid="{00000000-000D-0000-FFFF-FFFF00000000}"/>
  </bookViews>
  <sheets>
    <sheet name="foxz" sheetId="2" state="veryHidden" r:id="rId1"/>
    <sheet name="BẢNG KÊ CHI TIẾT XE MẪU " sheetId="5" state="hidden" r:id="rId2"/>
    <sheet name="BẢNG KÊ THỰC TẾ " sheetId="11" state="hidden" r:id="rId3"/>
    <sheet name="Kangatang" sheetId="20" state="veryHidden" r:id="rId4"/>
    <sheet name="Kangatang_2" sheetId="21" state="veryHidden" r:id="rId5"/>
    <sheet name="Kangatang_3" sheetId="22" state="veryHidden" r:id="rId6"/>
    <sheet name="ĐNTT" sheetId="7" r:id="rId7"/>
    <sheet name="BẢNG KÊ CHI TIẾT XE TDP 08" sheetId="14" state="hidden" r:id="rId8"/>
    <sheet name="xe nienyi " sheetId="13" state="hidden" r:id="rId9"/>
    <sheet name="BẢNG KÊ CHI TIẾT XE TDP THEM XE" sheetId="17" state="hidden" r:id="rId10"/>
    <sheet name="BẢNG KÊ CHI TIẾT XUẤT VAT 07" sheetId="19" r:id="rId11"/>
  </sheets>
  <definedNames>
    <definedName name="_xlnm._FilterDatabase" localSheetId="1" hidden="1">'BẢNG KÊ CHI TIẾT XE MẪU '!$A$10:$CN$45</definedName>
    <definedName name="_xlnm._FilterDatabase" localSheetId="7" hidden="1">'BẢNG KÊ CHI TIẾT XE TDP 08'!$A$9:$CN$42</definedName>
    <definedName name="_xlnm._FilterDatabase" localSheetId="9" hidden="1">'BẢNG KÊ CHI TIẾT XE TDP THEM XE'!$A$9:$CN$42</definedName>
    <definedName name="_xlnm._FilterDatabase" localSheetId="10" hidden="1">'BẢNG KÊ CHI TIẾT XUẤT VAT 07'!$A$10:$CP$44</definedName>
    <definedName name="_xlnm._FilterDatabase" localSheetId="2" hidden="1">'BẢNG KÊ THỰC TẾ '!$A$9:$CN$42</definedName>
    <definedName name="_xlnm._FilterDatabase" localSheetId="8" hidden="1">'xe nienyi '!$A$9:$CN$42</definedName>
    <definedName name="_xlnm.Print_Area" localSheetId="7">'BẢNG KÊ CHI TIẾT XE TDP 08'!$A$1:$Z$45</definedName>
    <definedName name="_xlnm.Print_Area" localSheetId="9">'BẢNG KÊ CHI TIẾT XE TDP THEM XE'!$A$1:$Z$45</definedName>
    <definedName name="_xlnm.Print_Area" localSheetId="10">'BẢNG KÊ CHI TIẾT XUẤT VAT 07'!$A$1:$AB$45</definedName>
    <definedName name="_xlnm.Print_Area" localSheetId="2">'BẢNG KÊ THỰC TẾ '!$A$1:$Z$45</definedName>
    <definedName name="_xlnm.Print_Area" localSheetId="6">ĐNTT!$A$1:$D$31</definedName>
    <definedName name="_xlnm.Print_Area" localSheetId="8">'xe nienyi '!$A$1:$Z$45</definedName>
    <definedName name="Tháng" localSheetId="7">#REF!</definedName>
    <definedName name="Tháng" localSheetId="9">#REF!</definedName>
    <definedName name="Tháng" localSheetId="10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1" i="19" l="1"/>
  <c r="Q40" i="19"/>
  <c r="Q29" i="19"/>
  <c r="Q18" i="19" l="1"/>
  <c r="Q37" i="19"/>
  <c r="Q39" i="19"/>
  <c r="Q38" i="19"/>
  <c r="Q36" i="19"/>
  <c r="Q34" i="19"/>
  <c r="Q32" i="19"/>
  <c r="Q23" i="19"/>
  <c r="Q16" i="19"/>
  <c r="AB16" i="19" s="1"/>
  <c r="D16" i="19"/>
  <c r="Q15" i="19"/>
  <c r="AB15" i="19" s="1"/>
  <c r="D15" i="19"/>
  <c r="AB14" i="19"/>
  <c r="Q14" i="19"/>
  <c r="D14" i="19"/>
  <c r="Q22" i="19"/>
  <c r="M42" i="19"/>
  <c r="Q17" i="19"/>
  <c r="AB17" i="19" s="1"/>
  <c r="D17" i="19"/>
  <c r="Q13" i="19"/>
  <c r="AB13" i="19" s="1"/>
  <c r="D13" i="19"/>
  <c r="Q12" i="19"/>
  <c r="AB12" i="19" s="1"/>
  <c r="D12" i="19"/>
  <c r="AB39" i="19" l="1"/>
  <c r="V42" i="19"/>
  <c r="AB32" i="19"/>
  <c r="D32" i="19"/>
  <c r="Q25" i="19"/>
  <c r="AB25" i="19" s="1"/>
  <c r="D21" i="19"/>
  <c r="Q21" i="19"/>
  <c r="AB21" i="19" s="1"/>
  <c r="Q20" i="19"/>
  <c r="AB20" i="19" s="1"/>
  <c r="AB18" i="19"/>
  <c r="AB41" i="19"/>
  <c r="D41" i="19"/>
  <c r="AB40" i="19"/>
  <c r="D40" i="19"/>
  <c r="D39" i="19"/>
  <c r="AB38" i="19"/>
  <c r="D38" i="19"/>
  <c r="AB37" i="19"/>
  <c r="D37" i="19"/>
  <c r="AB36" i="19"/>
  <c r="D36" i="19"/>
  <c r="Q35" i="19"/>
  <c r="AB35" i="19" s="1"/>
  <c r="D35" i="19"/>
  <c r="U34" i="19"/>
  <c r="AB34" i="19" s="1"/>
  <c r="D34" i="19"/>
  <c r="AB33" i="19"/>
  <c r="D33" i="19"/>
  <c r="Q31" i="19"/>
  <c r="AB31" i="19" s="1"/>
  <c r="D31" i="19"/>
  <c r="AB30" i="19"/>
  <c r="D30" i="19"/>
  <c r="AB29" i="19"/>
  <c r="D29" i="19"/>
  <c r="U28" i="19"/>
  <c r="AB28" i="19" s="1"/>
  <c r="D28" i="19"/>
  <c r="AB27" i="19"/>
  <c r="D27" i="19"/>
  <c r="AB26" i="19"/>
  <c r="D26" i="19"/>
  <c r="D25" i="19"/>
  <c r="Q24" i="19"/>
  <c r="AB24" i="19" s="1"/>
  <c r="D24" i="19"/>
  <c r="AB23" i="19"/>
  <c r="D23" i="19"/>
  <c r="AB22" i="19"/>
  <c r="D22" i="19"/>
  <c r="D20" i="19"/>
  <c r="D19" i="19"/>
  <c r="D18" i="19"/>
  <c r="Q19" i="19" l="1"/>
  <c r="AB19" i="19" s="1"/>
  <c r="O42" i="19"/>
  <c r="E42" i="19"/>
  <c r="R42" i="19"/>
  <c r="S42" i="19"/>
  <c r="Y42" i="19"/>
  <c r="Z42" i="19"/>
  <c r="AA42" i="19"/>
  <c r="U42" i="19" l="1"/>
  <c r="X42" i="19"/>
  <c r="N42" i="19"/>
  <c r="D42" i="19" l="1"/>
  <c r="I42" i="19" l="1"/>
  <c r="Q42" i="19"/>
  <c r="D24" i="7"/>
  <c r="C23" i="7" l="1"/>
  <c r="I11" i="19" l="1"/>
  <c r="AB11" i="19" s="1"/>
  <c r="AB42" i="19" s="1"/>
  <c r="D15" i="7"/>
  <c r="D23" i="7" l="1"/>
  <c r="A44" i="19"/>
  <c r="D20" i="7"/>
  <c r="D22" i="7" l="1"/>
  <c r="D41" i="17" l="1"/>
  <c r="A44" i="17"/>
  <c r="W42" i="17"/>
  <c r="V42" i="17"/>
  <c r="U42" i="17"/>
  <c r="R42" i="17"/>
  <c r="Q42" i="17"/>
  <c r="N42" i="17"/>
  <c r="M42" i="17"/>
  <c r="H42" i="17"/>
  <c r="F42" i="17"/>
  <c r="E42" i="17"/>
  <c r="X41" i="17"/>
  <c r="P41" i="17"/>
  <c r="X40" i="17"/>
  <c r="P40" i="17"/>
  <c r="D40" i="17"/>
  <c r="X39" i="17"/>
  <c r="P39" i="17"/>
  <c r="D39" i="17"/>
  <c r="X38" i="17"/>
  <c r="P38" i="17"/>
  <c r="D38" i="17"/>
  <c r="X37" i="17"/>
  <c r="P37" i="17"/>
  <c r="D37" i="17"/>
  <c r="X36" i="17"/>
  <c r="O36" i="17"/>
  <c r="P36" i="17" s="1"/>
  <c r="D36" i="17"/>
  <c r="Y35" i="17"/>
  <c r="X35" i="17"/>
  <c r="O35" i="17"/>
  <c r="P35" i="17" s="1"/>
  <c r="D35" i="17"/>
  <c r="Y34" i="17"/>
  <c r="X34" i="17"/>
  <c r="O34" i="17"/>
  <c r="P34" i="17" s="1"/>
  <c r="L34" i="17"/>
  <c r="L42" i="17" s="1"/>
  <c r="D34" i="17"/>
  <c r="X33" i="17"/>
  <c r="P33" i="17"/>
  <c r="D33" i="17"/>
  <c r="X32" i="17"/>
  <c r="P32" i="17"/>
  <c r="D32" i="17"/>
  <c r="X31" i="17"/>
  <c r="P31" i="17"/>
  <c r="D31" i="17"/>
  <c r="X30" i="17"/>
  <c r="P30" i="17"/>
  <c r="D30" i="17"/>
  <c r="X29" i="17"/>
  <c r="O29" i="17"/>
  <c r="P29" i="17" s="1"/>
  <c r="D29" i="17"/>
  <c r="X28" i="17"/>
  <c r="O28" i="17"/>
  <c r="P28" i="17" s="1"/>
  <c r="D28" i="17"/>
  <c r="X27" i="17"/>
  <c r="P27" i="17"/>
  <c r="D27" i="17"/>
  <c r="X26" i="17"/>
  <c r="P26" i="17"/>
  <c r="D26" i="17"/>
  <c r="X25" i="17"/>
  <c r="P25" i="17"/>
  <c r="D25" i="17"/>
  <c r="X24" i="17"/>
  <c r="P24" i="17"/>
  <c r="D24" i="17"/>
  <c r="X23" i="17"/>
  <c r="S23" i="17"/>
  <c r="S42" i="17" s="1"/>
  <c r="O23" i="17"/>
  <c r="D23" i="17"/>
  <c r="X22" i="17"/>
  <c r="O22" i="17"/>
  <c r="P22" i="17" s="1"/>
  <c r="D22" i="17"/>
  <c r="X21" i="17"/>
  <c r="P21" i="17"/>
  <c r="D21" i="17"/>
  <c r="X20" i="17"/>
  <c r="P20" i="17"/>
  <c r="D20" i="17"/>
  <c r="X19" i="17"/>
  <c r="P19" i="17"/>
  <c r="D19" i="17"/>
  <c r="Y18" i="17"/>
  <c r="X18" i="17"/>
  <c r="P18" i="17"/>
  <c r="D18" i="17"/>
  <c r="X17" i="17"/>
  <c r="P17" i="17"/>
  <c r="D17" i="17"/>
  <c r="X16" i="17"/>
  <c r="P16" i="17"/>
  <c r="D16" i="17"/>
  <c r="X15" i="17"/>
  <c r="P15" i="17"/>
  <c r="D15" i="17"/>
  <c r="X14" i="17"/>
  <c r="P14" i="17"/>
  <c r="D14" i="17"/>
  <c r="X13" i="17"/>
  <c r="P13" i="17"/>
  <c r="D13" i="17"/>
  <c r="X12" i="17"/>
  <c r="P12" i="17"/>
  <c r="D12" i="17"/>
  <c r="X11" i="17"/>
  <c r="O11" i="17"/>
  <c r="P11" i="17" s="1"/>
  <c r="D11" i="17"/>
  <c r="O29" i="14"/>
  <c r="P29" i="14" s="1"/>
  <c r="S23" i="14"/>
  <c r="T23" i="14" s="1"/>
  <c r="O23" i="14"/>
  <c r="O36" i="14"/>
  <c r="P36" i="14" s="1"/>
  <c r="O35" i="14"/>
  <c r="P35" i="14" s="1"/>
  <c r="O34" i="14"/>
  <c r="P34" i="14" s="1"/>
  <c r="O28" i="14"/>
  <c r="P28" i="14" s="1"/>
  <c r="O22" i="14"/>
  <c r="P22" i="14" s="1"/>
  <c r="P15" i="14"/>
  <c r="O11" i="14"/>
  <c r="P11" i="14" s="1"/>
  <c r="L34" i="14"/>
  <c r="P12" i="14"/>
  <c r="P13" i="14"/>
  <c r="P14" i="14"/>
  <c r="P16" i="14"/>
  <c r="P17" i="14"/>
  <c r="P18" i="14"/>
  <c r="P19" i="14"/>
  <c r="P20" i="14"/>
  <c r="P21" i="14"/>
  <c r="P24" i="14"/>
  <c r="P25" i="14"/>
  <c r="P26" i="14"/>
  <c r="P27" i="14"/>
  <c r="P30" i="14"/>
  <c r="P31" i="14"/>
  <c r="P32" i="14"/>
  <c r="P33" i="14"/>
  <c r="P37" i="14"/>
  <c r="P38" i="14"/>
  <c r="P39" i="14"/>
  <c r="P40" i="14"/>
  <c r="P41" i="14"/>
  <c r="N42" i="14"/>
  <c r="Z17" i="17" l="1"/>
  <c r="Z22" i="17"/>
  <c r="Z31" i="17"/>
  <c r="Z41" i="17"/>
  <c r="Z13" i="17"/>
  <c r="Z12" i="17"/>
  <c r="Z16" i="17"/>
  <c r="Z40" i="17"/>
  <c r="Z24" i="17"/>
  <c r="Z30" i="17"/>
  <c r="Z11" i="17"/>
  <c r="Z15" i="17"/>
  <c r="Z29" i="17"/>
  <c r="Z35" i="17"/>
  <c r="Z27" i="17"/>
  <c r="Z26" i="17"/>
  <c r="Z38" i="17"/>
  <c r="Z39" i="17"/>
  <c r="Z14" i="17"/>
  <c r="Z18" i="17"/>
  <c r="Z20" i="17"/>
  <c r="Z25" i="17"/>
  <c r="Z32" i="17"/>
  <c r="Z36" i="17"/>
  <c r="Z37" i="17"/>
  <c r="D42" i="17"/>
  <c r="Y42" i="17"/>
  <c r="X42" i="17"/>
  <c r="Z19" i="17"/>
  <c r="Z21" i="17"/>
  <c r="T23" i="17"/>
  <c r="T42" i="17" s="1"/>
  <c r="Z28" i="17"/>
  <c r="Z33" i="17"/>
  <c r="Z34" i="17"/>
  <c r="P42" i="17"/>
  <c r="Y35" i="14"/>
  <c r="Y34" i="14"/>
  <c r="Y18" i="14"/>
  <c r="X11" i="14"/>
  <c r="X12" i="14"/>
  <c r="X13" i="14"/>
  <c r="D17" i="7" l="1"/>
  <c r="Z23" i="17"/>
  <c r="G10" i="17"/>
  <c r="R42" i="14"/>
  <c r="G42" i="17" l="1"/>
  <c r="I10" i="17"/>
  <c r="I42" i="17" l="1"/>
  <c r="Z10" i="17"/>
  <c r="Z42" i="17" s="1"/>
  <c r="L42" i="14"/>
  <c r="D39" i="14"/>
  <c r="D40" i="14"/>
  <c r="D19" i="14" l="1"/>
  <c r="D12" i="14"/>
  <c r="D13" i="14"/>
  <c r="D14" i="14"/>
  <c r="D15" i="14"/>
  <c r="D16" i="14"/>
  <c r="D17" i="14"/>
  <c r="D18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A44" i="14"/>
  <c r="W42" i="14"/>
  <c r="V42" i="14"/>
  <c r="U42" i="14"/>
  <c r="Q42" i="14"/>
  <c r="H42" i="14"/>
  <c r="F42" i="14"/>
  <c r="E42" i="14"/>
  <c r="X41" i="14"/>
  <c r="Z41" i="14" s="1"/>
  <c r="X40" i="14"/>
  <c r="Z40" i="14" s="1"/>
  <c r="X39" i="14"/>
  <c r="Z39" i="14" s="1"/>
  <c r="X38" i="14"/>
  <c r="Z38" i="14" s="1"/>
  <c r="X37" i="14"/>
  <c r="Z37" i="14" s="1"/>
  <c r="X36" i="14"/>
  <c r="Z36" i="14" s="1"/>
  <c r="X35" i="14"/>
  <c r="Z35" i="14" s="1"/>
  <c r="X34" i="14"/>
  <c r="Z34" i="14" s="1"/>
  <c r="X33" i="14"/>
  <c r="Z33" i="14" s="1"/>
  <c r="X32" i="14"/>
  <c r="Z32" i="14" s="1"/>
  <c r="X31" i="14"/>
  <c r="Z31" i="14" s="1"/>
  <c r="X30" i="14"/>
  <c r="Z30" i="14" s="1"/>
  <c r="X29" i="14"/>
  <c r="Z29" i="14" s="1"/>
  <c r="X28" i="14"/>
  <c r="Z28" i="14" s="1"/>
  <c r="X27" i="14"/>
  <c r="Z27" i="14" s="1"/>
  <c r="X26" i="14"/>
  <c r="Z26" i="14" s="1"/>
  <c r="X25" i="14"/>
  <c r="Z25" i="14" s="1"/>
  <c r="X24" i="14"/>
  <c r="Z24" i="14" s="1"/>
  <c r="X23" i="14"/>
  <c r="Z23" i="14" s="1"/>
  <c r="X22" i="14"/>
  <c r="Z22" i="14" s="1"/>
  <c r="X21" i="14"/>
  <c r="Z21" i="14" s="1"/>
  <c r="X20" i="14"/>
  <c r="Z20" i="14" s="1"/>
  <c r="X19" i="14"/>
  <c r="Z19" i="14" s="1"/>
  <c r="S42" i="14"/>
  <c r="X18" i="14"/>
  <c r="Z18" i="14" s="1"/>
  <c r="X17" i="14"/>
  <c r="Z17" i="14" s="1"/>
  <c r="X16" i="14"/>
  <c r="Z16" i="14" s="1"/>
  <c r="X15" i="14"/>
  <c r="Z15" i="14" s="1"/>
  <c r="X14" i="14"/>
  <c r="Z14" i="14" s="1"/>
  <c r="Z13" i="14"/>
  <c r="Z12" i="14"/>
  <c r="P42" i="14"/>
  <c r="D11" i="14"/>
  <c r="M42" i="14" l="1"/>
  <c r="Z11" i="14"/>
  <c r="D42" i="14"/>
  <c r="G10" i="14" s="1"/>
  <c r="X42" i="14"/>
  <c r="Y42" i="14"/>
  <c r="T42" i="14"/>
  <c r="G42" i="14" l="1"/>
  <c r="I10" i="14"/>
  <c r="Z10" i="14" s="1"/>
  <c r="Z42" i="14" s="1"/>
  <c r="I42" i="14" l="1"/>
  <c r="A44" i="13" l="1"/>
  <c r="W42" i="13"/>
  <c r="U42" i="13"/>
  <c r="R42" i="13"/>
  <c r="Q42" i="13"/>
  <c r="N42" i="13"/>
  <c r="H42" i="13"/>
  <c r="G42" i="13"/>
  <c r="F42" i="13"/>
  <c r="E42" i="13"/>
  <c r="Y41" i="13"/>
  <c r="Y42" i="13" s="1"/>
  <c r="X41" i="13"/>
  <c r="P41" i="13"/>
  <c r="L41" i="13"/>
  <c r="D41" i="13"/>
  <c r="X40" i="13"/>
  <c r="P40" i="13"/>
  <c r="M40" i="13"/>
  <c r="L40" i="13"/>
  <c r="D40" i="13"/>
  <c r="X39" i="13"/>
  <c r="S39" i="13"/>
  <c r="T39" i="13" s="1"/>
  <c r="P39" i="13"/>
  <c r="M39" i="13"/>
  <c r="L39" i="13"/>
  <c r="D39" i="13"/>
  <c r="X38" i="13"/>
  <c r="P38" i="13"/>
  <c r="M38" i="13"/>
  <c r="L38" i="13"/>
  <c r="D38" i="13"/>
  <c r="X37" i="13"/>
  <c r="P37" i="13"/>
  <c r="M37" i="13"/>
  <c r="L37" i="13"/>
  <c r="D37" i="13"/>
  <c r="X36" i="13"/>
  <c r="P36" i="13"/>
  <c r="D36" i="13"/>
  <c r="X35" i="13"/>
  <c r="P35" i="13"/>
  <c r="M35" i="13"/>
  <c r="L35" i="13"/>
  <c r="D35" i="13"/>
  <c r="X34" i="13"/>
  <c r="P34" i="13"/>
  <c r="D34" i="13"/>
  <c r="X33" i="13"/>
  <c r="P33" i="13"/>
  <c r="M33" i="13"/>
  <c r="L33" i="13"/>
  <c r="D33" i="13"/>
  <c r="X32" i="13"/>
  <c r="P32" i="13"/>
  <c r="M32" i="13"/>
  <c r="L32" i="13"/>
  <c r="D32" i="13"/>
  <c r="X31" i="13"/>
  <c r="P31" i="13"/>
  <c r="M31" i="13"/>
  <c r="L31" i="13"/>
  <c r="D31" i="13"/>
  <c r="X30" i="13"/>
  <c r="P30" i="13"/>
  <c r="M30" i="13"/>
  <c r="L30" i="13"/>
  <c r="D30" i="13"/>
  <c r="X29" i="13"/>
  <c r="P29" i="13"/>
  <c r="M29" i="13"/>
  <c r="L29" i="13"/>
  <c r="D29" i="13"/>
  <c r="X28" i="13"/>
  <c r="P28" i="13"/>
  <c r="M28" i="13"/>
  <c r="L28" i="13"/>
  <c r="D28" i="13"/>
  <c r="X27" i="13"/>
  <c r="P27" i="13"/>
  <c r="M27" i="13"/>
  <c r="L27" i="13"/>
  <c r="D27" i="13"/>
  <c r="X26" i="13"/>
  <c r="P26" i="13"/>
  <c r="M26" i="13"/>
  <c r="L26" i="13"/>
  <c r="D26" i="13"/>
  <c r="X25" i="13"/>
  <c r="S25" i="13"/>
  <c r="T25" i="13" s="1"/>
  <c r="O25" i="13"/>
  <c r="P25" i="13" s="1"/>
  <c r="M25" i="13"/>
  <c r="L25" i="13"/>
  <c r="D25" i="13"/>
  <c r="X24" i="13"/>
  <c r="P24" i="13"/>
  <c r="M24" i="13"/>
  <c r="L24" i="13"/>
  <c r="D24" i="13"/>
  <c r="X23" i="13"/>
  <c r="P23" i="13"/>
  <c r="M23" i="13"/>
  <c r="L23" i="13"/>
  <c r="D23" i="13"/>
  <c r="X22" i="13"/>
  <c r="P22" i="13"/>
  <c r="M22" i="13"/>
  <c r="L22" i="13"/>
  <c r="D22" i="13"/>
  <c r="X21" i="13"/>
  <c r="P21" i="13"/>
  <c r="M21" i="13"/>
  <c r="L21" i="13"/>
  <c r="D21" i="13"/>
  <c r="X20" i="13"/>
  <c r="P20" i="13"/>
  <c r="M20" i="13"/>
  <c r="L20" i="13"/>
  <c r="D20" i="13"/>
  <c r="X19" i="13"/>
  <c r="P19" i="13"/>
  <c r="M19" i="13"/>
  <c r="L19" i="13"/>
  <c r="D19" i="13"/>
  <c r="X18" i="13"/>
  <c r="S18" i="13"/>
  <c r="O18" i="13"/>
  <c r="P18" i="13" s="1"/>
  <c r="M18" i="13"/>
  <c r="L18" i="13"/>
  <c r="D18" i="13"/>
  <c r="X17" i="13"/>
  <c r="P17" i="13"/>
  <c r="M17" i="13"/>
  <c r="L17" i="13"/>
  <c r="D17" i="13"/>
  <c r="X16" i="13"/>
  <c r="P16" i="13"/>
  <c r="M16" i="13"/>
  <c r="L16" i="13"/>
  <c r="D16" i="13"/>
  <c r="X15" i="13"/>
  <c r="P15" i="13"/>
  <c r="M15" i="13"/>
  <c r="L15" i="13"/>
  <c r="D15" i="13"/>
  <c r="X14" i="13"/>
  <c r="P14" i="13"/>
  <c r="M14" i="13"/>
  <c r="L14" i="13"/>
  <c r="D14" i="13"/>
  <c r="X13" i="13"/>
  <c r="P13" i="13"/>
  <c r="M13" i="13"/>
  <c r="L13" i="13"/>
  <c r="D13" i="13"/>
  <c r="X12" i="13"/>
  <c r="P12" i="13"/>
  <c r="M12" i="13"/>
  <c r="L12" i="13"/>
  <c r="X11" i="13"/>
  <c r="P11" i="13"/>
  <c r="M11" i="13"/>
  <c r="L11" i="13"/>
  <c r="V10" i="13"/>
  <c r="V42" i="13" s="1"/>
  <c r="I10" i="13"/>
  <c r="I42" i="13" s="1"/>
  <c r="Z34" i="13" l="1"/>
  <c r="Z33" i="13"/>
  <c r="Z35" i="13"/>
  <c r="Z13" i="13"/>
  <c r="Z16" i="13"/>
  <c r="Z38" i="13"/>
  <c r="Z37" i="13"/>
  <c r="Z40" i="13"/>
  <c r="Z14" i="13"/>
  <c r="Z17" i="13"/>
  <c r="Z19" i="13"/>
  <c r="Z20" i="13"/>
  <c r="Z23" i="13"/>
  <c r="Z24" i="13"/>
  <c r="Z27" i="13"/>
  <c r="Z26" i="13"/>
  <c r="Z30" i="13"/>
  <c r="Z29" i="13"/>
  <c r="Z41" i="13"/>
  <c r="Z12" i="13"/>
  <c r="Z21" i="13"/>
  <c r="Z22" i="13"/>
  <c r="Z31" i="13"/>
  <c r="Z32" i="13"/>
  <c r="X42" i="13"/>
  <c r="Z15" i="13"/>
  <c r="S42" i="13"/>
  <c r="D42" i="13"/>
  <c r="Z25" i="13"/>
  <c r="Z28" i="13"/>
  <c r="Z36" i="13"/>
  <c r="Z39" i="13"/>
  <c r="P42" i="13"/>
  <c r="T18" i="13"/>
  <c r="T42" i="13" s="1"/>
  <c r="Z10" i="13"/>
  <c r="Z11" i="13"/>
  <c r="AA42" i="13" l="1"/>
  <c r="Z18" i="13"/>
  <c r="Z42" i="13" s="1"/>
  <c r="C40" i="11" l="1"/>
  <c r="D40" i="11" s="1"/>
  <c r="AA49" i="11"/>
  <c r="AA46" i="11"/>
  <c r="A44" i="11"/>
  <c r="W42" i="11"/>
  <c r="U42" i="11"/>
  <c r="T42" i="11"/>
  <c r="S42" i="11"/>
  <c r="R42" i="11"/>
  <c r="Q42" i="11"/>
  <c r="N42" i="11"/>
  <c r="H42" i="11"/>
  <c r="F42" i="11"/>
  <c r="E42" i="11"/>
  <c r="Z41" i="11"/>
  <c r="L41" i="11"/>
  <c r="X40" i="11"/>
  <c r="P40" i="11"/>
  <c r="M40" i="11"/>
  <c r="L40" i="11"/>
  <c r="Y39" i="11"/>
  <c r="X39" i="11"/>
  <c r="P39" i="11"/>
  <c r="M39" i="11"/>
  <c r="L39" i="11"/>
  <c r="D39" i="11"/>
  <c r="X38" i="11"/>
  <c r="P38" i="11"/>
  <c r="M38" i="11"/>
  <c r="L38" i="11"/>
  <c r="D38" i="11"/>
  <c r="Y37" i="11"/>
  <c r="X37" i="11"/>
  <c r="P37" i="11"/>
  <c r="M37" i="11"/>
  <c r="L37" i="11"/>
  <c r="D37" i="11"/>
  <c r="Y36" i="11"/>
  <c r="X36" i="11"/>
  <c r="P36" i="11"/>
  <c r="D36" i="11"/>
  <c r="X35" i="11"/>
  <c r="P35" i="11"/>
  <c r="M35" i="11"/>
  <c r="L35" i="11"/>
  <c r="D35" i="11"/>
  <c r="X34" i="11"/>
  <c r="P34" i="11"/>
  <c r="D34" i="11"/>
  <c r="X33" i="11"/>
  <c r="P33" i="11"/>
  <c r="M33" i="11"/>
  <c r="L33" i="11"/>
  <c r="D33" i="11"/>
  <c r="X32" i="11"/>
  <c r="P32" i="11"/>
  <c r="M32" i="11"/>
  <c r="L32" i="11"/>
  <c r="D32" i="11"/>
  <c r="X31" i="11"/>
  <c r="P31" i="11"/>
  <c r="M31" i="11"/>
  <c r="L31" i="11"/>
  <c r="D31" i="11"/>
  <c r="X30" i="11"/>
  <c r="P30" i="11"/>
  <c r="M30" i="11"/>
  <c r="L30" i="11"/>
  <c r="D30" i="11"/>
  <c r="X29" i="11"/>
  <c r="P29" i="11"/>
  <c r="M29" i="11"/>
  <c r="L29" i="11"/>
  <c r="D29" i="11"/>
  <c r="X28" i="11"/>
  <c r="P28" i="11"/>
  <c r="M28" i="11"/>
  <c r="L28" i="11"/>
  <c r="D28" i="11"/>
  <c r="X27" i="11"/>
  <c r="P27" i="11"/>
  <c r="M27" i="11"/>
  <c r="L27" i="11"/>
  <c r="D27" i="11"/>
  <c r="X26" i="11"/>
  <c r="P26" i="11"/>
  <c r="M26" i="11"/>
  <c r="L26" i="11"/>
  <c r="D26" i="11"/>
  <c r="X25" i="11"/>
  <c r="P25" i="11"/>
  <c r="M25" i="11"/>
  <c r="L25" i="11"/>
  <c r="D25" i="11"/>
  <c r="X24" i="11"/>
  <c r="P24" i="11"/>
  <c r="M24" i="11"/>
  <c r="L24" i="11"/>
  <c r="D24" i="11"/>
  <c r="X23" i="11"/>
  <c r="P23" i="11"/>
  <c r="M23" i="11"/>
  <c r="L23" i="11"/>
  <c r="D23" i="11"/>
  <c r="X22" i="11"/>
  <c r="O22" i="11"/>
  <c r="P22" i="11" s="1"/>
  <c r="M22" i="11"/>
  <c r="L22" i="11"/>
  <c r="D22" i="11"/>
  <c r="X21" i="11"/>
  <c r="P21" i="11"/>
  <c r="M21" i="11"/>
  <c r="L21" i="11"/>
  <c r="D21" i="11"/>
  <c r="X20" i="11"/>
  <c r="P20" i="11"/>
  <c r="M20" i="11"/>
  <c r="L20" i="11"/>
  <c r="D20" i="11"/>
  <c r="X19" i="11"/>
  <c r="P19" i="11"/>
  <c r="M19" i="11"/>
  <c r="L19" i="11"/>
  <c r="D19" i="11"/>
  <c r="X18" i="11"/>
  <c r="P18" i="11"/>
  <c r="M18" i="11"/>
  <c r="L18" i="11"/>
  <c r="D18" i="11"/>
  <c r="X17" i="11"/>
  <c r="P17" i="11"/>
  <c r="M17" i="11"/>
  <c r="L17" i="11"/>
  <c r="D17" i="11"/>
  <c r="X16" i="11"/>
  <c r="P16" i="11"/>
  <c r="M16" i="11"/>
  <c r="L16" i="11"/>
  <c r="D16" i="11"/>
  <c r="X15" i="11"/>
  <c r="P15" i="11"/>
  <c r="M15" i="11"/>
  <c r="L15" i="11"/>
  <c r="D15" i="11"/>
  <c r="Y14" i="11"/>
  <c r="X14" i="11"/>
  <c r="O14" i="11"/>
  <c r="P14" i="11" s="1"/>
  <c r="M14" i="11"/>
  <c r="L14" i="11"/>
  <c r="D14" i="11"/>
  <c r="X13" i="11"/>
  <c r="P13" i="11"/>
  <c r="M13" i="11"/>
  <c r="L13" i="11"/>
  <c r="D13" i="11"/>
  <c r="X12" i="11"/>
  <c r="O12" i="11"/>
  <c r="P12" i="11" s="1"/>
  <c r="M12" i="11"/>
  <c r="L12" i="11"/>
  <c r="D12" i="11"/>
  <c r="Y11" i="11"/>
  <c r="X11" i="11"/>
  <c r="P11" i="11"/>
  <c r="M11" i="11"/>
  <c r="L11" i="11"/>
  <c r="D11" i="11"/>
  <c r="V10" i="11"/>
  <c r="V42" i="11" s="1"/>
  <c r="Z17" i="11" l="1"/>
  <c r="Z21" i="11"/>
  <c r="Z25" i="11"/>
  <c r="Z40" i="11"/>
  <c r="Z27" i="11"/>
  <c r="Z24" i="11"/>
  <c r="Z32" i="11"/>
  <c r="Z34" i="11"/>
  <c r="Z38" i="11"/>
  <c r="Z11" i="11"/>
  <c r="Z12" i="11"/>
  <c r="Z15" i="11"/>
  <c r="Z18" i="11"/>
  <c r="Z19" i="11"/>
  <c r="Z26" i="11"/>
  <c r="Z30" i="11"/>
  <c r="Z39" i="11"/>
  <c r="Z23" i="11"/>
  <c r="Z14" i="11"/>
  <c r="Z16" i="11"/>
  <c r="Z20" i="11"/>
  <c r="Z31" i="11"/>
  <c r="Z13" i="11"/>
  <c r="D42" i="11"/>
  <c r="G10" i="11" s="1"/>
  <c r="G42" i="11" s="1"/>
  <c r="X42" i="11"/>
  <c r="Z22" i="11"/>
  <c r="Z29" i="11"/>
  <c r="Z33" i="11"/>
  <c r="Y42" i="11"/>
  <c r="Z37" i="11"/>
  <c r="Z28" i="11"/>
  <c r="Z36" i="11"/>
  <c r="Z35" i="11"/>
  <c r="P42" i="11"/>
  <c r="I10" i="11" l="1"/>
  <c r="I42" i="11" s="1"/>
  <c r="AA42" i="11" s="1"/>
  <c r="Z10" i="11" l="1"/>
  <c r="Z42" i="11" s="1"/>
  <c r="Y45" i="5"/>
  <c r="D42" i="5"/>
  <c r="L42" i="5"/>
  <c r="M42" i="5"/>
  <c r="N42" i="5"/>
  <c r="P42" i="5" s="1"/>
  <c r="X42" i="5"/>
  <c r="D43" i="5"/>
  <c r="L43" i="5"/>
  <c r="M43" i="5"/>
  <c r="N43" i="5"/>
  <c r="P43" i="5" s="1"/>
  <c r="X43" i="5"/>
  <c r="D44" i="5"/>
  <c r="L44" i="5"/>
  <c r="M44" i="5"/>
  <c r="N44" i="5"/>
  <c r="P44" i="5" s="1"/>
  <c r="X44" i="5"/>
  <c r="N45" i="5"/>
  <c r="E45" i="5"/>
  <c r="Z44" i="5" l="1"/>
  <c r="Z42" i="5"/>
  <c r="Z43" i="5"/>
  <c r="M41" i="5" l="1"/>
  <c r="L41" i="5"/>
  <c r="AA44" i="11" l="1"/>
  <c r="W45" i="5"/>
  <c r="M38" i="5"/>
  <c r="L38" i="5"/>
  <c r="M36" i="5"/>
  <c r="L36" i="5"/>
  <c r="M32" i="5"/>
  <c r="L32" i="5"/>
  <c r="M31" i="5"/>
  <c r="L31" i="5"/>
  <c r="M25" i="5"/>
  <c r="L25" i="5"/>
  <c r="M18" i="5"/>
  <c r="L18" i="5"/>
  <c r="M17" i="5"/>
  <c r="L17" i="5"/>
  <c r="M11" i="5"/>
  <c r="L11" i="5"/>
  <c r="M37" i="5" l="1"/>
  <c r="L37" i="5"/>
  <c r="M34" i="5"/>
  <c r="L34" i="5"/>
  <c r="M26" i="5"/>
  <c r="L26" i="5"/>
  <c r="M23" i="5"/>
  <c r="L23" i="5"/>
  <c r="X20" i="5"/>
  <c r="X21" i="5"/>
  <c r="X22" i="5"/>
  <c r="M21" i="5"/>
  <c r="L21" i="5"/>
  <c r="M20" i="5"/>
  <c r="L20" i="5"/>
  <c r="M16" i="5"/>
  <c r="L16" i="5"/>
  <c r="M14" i="5"/>
  <c r="L14" i="5"/>
  <c r="M13" i="5"/>
  <c r="L13" i="5"/>
  <c r="M40" i="5" l="1"/>
  <c r="L40" i="5"/>
  <c r="M39" i="5"/>
  <c r="L39" i="5"/>
  <c r="M30" i="5"/>
  <c r="L30" i="5"/>
  <c r="M29" i="5"/>
  <c r="L29" i="5"/>
  <c r="M19" i="5"/>
  <c r="L19" i="5"/>
  <c r="M15" i="5"/>
  <c r="L15" i="5"/>
  <c r="M28" i="5" l="1"/>
  <c r="L28" i="5"/>
  <c r="M24" i="5" l="1"/>
  <c r="L24" i="5"/>
  <c r="X41" i="5" l="1"/>
  <c r="P41" i="5"/>
  <c r="D41" i="5"/>
  <c r="Z41" i="5" l="1"/>
  <c r="M35" i="5" l="1"/>
  <c r="L35" i="5"/>
  <c r="M33" i="5"/>
  <c r="L33" i="5"/>
  <c r="M27" i="5" l="1"/>
  <c r="L27" i="5"/>
  <c r="D40" i="5" l="1"/>
  <c r="M22" i="5" l="1"/>
  <c r="L22" i="5"/>
  <c r="X17" i="5" l="1"/>
  <c r="H45" i="5"/>
  <c r="F45" i="5"/>
  <c r="X19" i="5"/>
  <c r="X32" i="5" l="1"/>
  <c r="D32" i="5"/>
  <c r="X25" i="5"/>
  <c r="D25" i="5"/>
  <c r="X18" i="5"/>
  <c r="P18" i="5"/>
  <c r="D18" i="5"/>
  <c r="D12" i="5"/>
  <c r="L12" i="5"/>
  <c r="M12" i="5"/>
  <c r="P12" i="5" s="1"/>
  <c r="X12" i="5"/>
  <c r="D13" i="5"/>
  <c r="X13" i="5"/>
  <c r="D14" i="5"/>
  <c r="P14" i="5"/>
  <c r="X14" i="5"/>
  <c r="D15" i="5"/>
  <c r="X15" i="5"/>
  <c r="D16" i="5"/>
  <c r="X16" i="5"/>
  <c r="D17" i="5"/>
  <c r="Z12" i="5" l="1"/>
  <c r="Z18" i="5"/>
  <c r="Z14" i="5"/>
  <c r="P16" i="5"/>
  <c r="Z16" i="5" s="1"/>
  <c r="P15" i="5"/>
  <c r="Z15" i="5" s="1"/>
  <c r="P17" i="5"/>
  <c r="Z17" i="5" s="1"/>
  <c r="P13" i="5"/>
  <c r="Z13" i="5" s="1"/>
  <c r="P25" i="5"/>
  <c r="Z25" i="5" s="1"/>
  <c r="P32" i="5"/>
  <c r="Z32" i="5" l="1"/>
  <c r="D23" i="5"/>
  <c r="P23" i="5" l="1"/>
  <c r="X38" i="5" l="1"/>
  <c r="D38" i="5"/>
  <c r="X37" i="5"/>
  <c r="D37" i="5"/>
  <c r="X36" i="5"/>
  <c r="D36" i="5"/>
  <c r="P36" i="5" l="1"/>
  <c r="Z36" i="5" s="1"/>
  <c r="P37" i="5"/>
  <c r="Z37" i="5" s="1"/>
  <c r="P38" i="5"/>
  <c r="Z38" i="5" s="1"/>
  <c r="P35" i="5" l="1"/>
  <c r="P31" i="5" l="1"/>
  <c r="A47" i="5" l="1"/>
  <c r="X40" i="5"/>
  <c r="X23" i="5"/>
  <c r="Z23" i="5" s="1"/>
  <c r="X24" i="5"/>
  <c r="X26" i="5"/>
  <c r="X27" i="5"/>
  <c r="X28" i="5"/>
  <c r="X29" i="5"/>
  <c r="X30" i="5"/>
  <c r="X31" i="5"/>
  <c r="Z31" i="5" s="1"/>
  <c r="X33" i="5"/>
  <c r="X34" i="5"/>
  <c r="X35" i="5"/>
  <c r="Z35" i="5" s="1"/>
  <c r="X39" i="5"/>
  <c r="X11" i="5"/>
  <c r="D31" i="5"/>
  <c r="D24" i="5"/>
  <c r="X45" i="5" l="1"/>
  <c r="P26" i="5" l="1"/>
  <c r="Z26" i="5" s="1"/>
  <c r="D11" i="5"/>
  <c r="D26" i="5" l="1"/>
  <c r="D34" i="5" l="1"/>
  <c r="D35" i="5"/>
  <c r="D39" i="5"/>
  <c r="P40" i="5" l="1"/>
  <c r="Z40" i="5" s="1"/>
  <c r="P39" i="5"/>
  <c r="Z39" i="5" s="1"/>
  <c r="D33" i="5"/>
  <c r="D30" i="5"/>
  <c r="D29" i="5"/>
  <c r="D28" i="5"/>
  <c r="D27" i="5"/>
  <c r="D22" i="5"/>
  <c r="D21" i="5"/>
  <c r="D20" i="5"/>
  <c r="D19" i="5"/>
  <c r="D45" i="5" l="1"/>
  <c r="D49" i="5"/>
  <c r="G45" i="5"/>
  <c r="P24" i="5"/>
  <c r="Z24" i="5" s="1"/>
  <c r="I10" i="5" l="1"/>
  <c r="P11" i="5"/>
  <c r="P28" i="5"/>
  <c r="P19" i="5"/>
  <c r="P34" i="5"/>
  <c r="Z34" i="5" s="1"/>
  <c r="P33" i="5"/>
  <c r="P30" i="5"/>
  <c r="Z30" i="5" s="1"/>
  <c r="P29" i="5"/>
  <c r="Z29" i="5" s="1"/>
  <c r="P27" i="5"/>
  <c r="Z27" i="5" s="1"/>
  <c r="P22" i="5"/>
  <c r="Z22" i="5" s="1"/>
  <c r="P20" i="5"/>
  <c r="Z20" i="5" s="1"/>
  <c r="P21" i="5"/>
  <c r="Z21" i="5" s="1"/>
  <c r="V10" i="5"/>
  <c r="Z33" i="5" l="1"/>
  <c r="P45" i="5"/>
  <c r="Z11" i="5"/>
  <c r="Z28" i="5"/>
  <c r="Z19" i="5"/>
  <c r="Z10" i="5"/>
  <c r="I45" i="5"/>
  <c r="Z45" i="5" l="1"/>
  <c r="D25" i="7" l="1"/>
  <c r="D2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N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Tăng ca 1h từ 22:00-23:00</t>
        </r>
      </text>
    </comment>
    <comment ref="J3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Tăng ca từ 22:00 đến 24:30 tổng 2.5h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- [2010]</author>
  </authors>
  <commentList>
    <comment ref="K1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0.5h</t>
        </r>
      </text>
    </comment>
    <comment ref="J1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0.5
</t>
        </r>
      </text>
    </comment>
    <comment ref="K22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1.5 h</t>
        </r>
      </text>
    </comment>
    <comment ref="J3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2h</t>
        </r>
      </text>
    </comment>
    <comment ref="K3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5.5h tăng ca</t>
        </r>
      </text>
    </comment>
    <comment ref="J40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1.5h</t>
        </r>
      </text>
    </comment>
  </commentList>
</comments>
</file>

<file path=xl/sharedStrings.xml><?xml version="1.0" encoding="utf-8"?>
<sst xmlns="http://schemas.openxmlformats.org/spreadsheetml/2006/main" count="304" uniqueCount="107">
  <si>
    <t>Cộng Hòa Xã Hội Chủ Nghĩa Việt Nam</t>
  </si>
  <si>
    <t>Độc Lập - Tự Do - Hạnh Phúc</t>
  </si>
  <si>
    <t>ĐVT: VND</t>
  </si>
  <si>
    <t>BẢNG ĐỐI CHIẾU KHỐI LƯỢNG VÀ GIÁ TRỊ SỬ DỤNG XE Ô TÔ 
租车使用对账明细表</t>
  </si>
  <si>
    <t>NGÀY
日期</t>
  </si>
  <si>
    <t>SỐ KM
使用公里数</t>
  </si>
  <si>
    <t>SỐ KM TRỌN GÓI THEO HỢP ĐỒNG
按合同的公里数</t>
  </si>
  <si>
    <t>KM PHỤ TRỘI NGÀY THƯỜNG
平日超过公里数</t>
  </si>
  <si>
    <t>SỐ KM
公里数</t>
  </si>
  <si>
    <t>GIÁ TRỊ
金额</t>
  </si>
  <si>
    <t>SỐ KM PHỤ TRỘI
超过公里数</t>
  </si>
  <si>
    <t>ĐƠN GIÁ
单价</t>
  </si>
  <si>
    <t>THÀNH TIỀN
金额</t>
  </si>
  <si>
    <t>Giờ B.Đầu
开始时间</t>
  </si>
  <si>
    <t>Giờ K.Thúc
结束时间</t>
  </si>
  <si>
    <t xml:space="preserve"> GIỜ PHỤ TRỘI NGÀY THƯỜNG
平日超过时间</t>
  </si>
  <si>
    <t>GIỜ
工时</t>
  </si>
  <si>
    <t>THÀNH TIÊN
金额</t>
  </si>
  <si>
    <t>ĐƠN GIÁ NGÀY QUA ĐÊM
过夜单价</t>
  </si>
  <si>
    <t>ĐƠN GIÁ NGÀY CN/LỄ
礼拜天或节日的单价</t>
  </si>
  <si>
    <t>KM 
公里</t>
  </si>
  <si>
    <t>SỐ TIỀN
金额</t>
  </si>
  <si>
    <t xml:space="preserve"> GIỜ PHỤ TRỘI NGÀY CHỦ NHẬT/LỄ
礼拜天或节日超过时间</t>
  </si>
  <si>
    <t>TIỀN ĂN
餐费</t>
  </si>
  <si>
    <t>SỐ BỮA ĂN
餐数量</t>
  </si>
  <si>
    <t>TIỀN VÉ XE
过路费、车票</t>
  </si>
  <si>
    <t>CỘNG
合计</t>
  </si>
  <si>
    <t>Km đầu
开始公里</t>
  </si>
  <si>
    <t>Km cuối
结束公里</t>
  </si>
  <si>
    <t>CÔNG TY  TNHH THƯƠNG MẠI DỊCH VỤ VẬN TẢI SUMO</t>
  </si>
  <si>
    <t>ĐC:  Khu Lãm Làng, Phường Vân Dương, Thành phố Bắc Ninh, Tỉnh Bắc Ninh</t>
  </si>
  <si>
    <t>Khách hàng客户: CÔNG TY TNHH CÔNG NGHIỆP NIENYI VIỆT NAM</t>
  </si>
  <si>
    <t>CÔNG TY TNHH CÔNG NGHIỆP NIENYI VIỆT NAM</t>
  </si>
  <si>
    <r>
      <rPr>
        <b/>
        <sz val="12"/>
        <rFont val="Times New Roman"/>
        <family val="1"/>
      </rPr>
      <t>Loại xe:</t>
    </r>
    <r>
      <rPr>
        <sz val="12"/>
        <rFont val="Times New Roman"/>
        <family val="1"/>
      </rPr>
      <t xml:space="preserve"> 07 chỗ ngồi- BKS: 99A-289.12</t>
    </r>
  </si>
  <si>
    <t>Tháng 12 năm 2020
2020年12月</t>
  </si>
  <si>
    <r>
      <rPr>
        <b/>
        <sz val="12"/>
        <rFont val="Times New Roman"/>
        <family val="1"/>
      </rPr>
      <t>Loại xe:</t>
    </r>
    <r>
      <rPr>
        <sz val="12"/>
        <rFont val="Times New Roman"/>
        <family val="1"/>
      </rPr>
      <t xml:space="preserve"> 07 chỗ ngồi- BKS: 98A36900</t>
    </r>
  </si>
  <si>
    <r>
      <rPr>
        <b/>
        <u/>
        <sz val="13"/>
        <rFont val="Times New Roman"/>
        <family val="1"/>
      </rPr>
      <t>BÊN THUÊ VẬN CHUYỂN:</t>
    </r>
    <r>
      <rPr>
        <b/>
        <sz val="13"/>
        <rFont val="Times New Roman"/>
        <family val="1"/>
      </rPr>
      <t xml:space="preserve"> CÔNG TY TNHH CÔNG NGHIỆP NIENYI VIỆT NAM</t>
    </r>
  </si>
  <si>
    <t>内容 Nội dung</t>
  </si>
  <si>
    <t>数量               Số lượng</t>
  </si>
  <si>
    <t xml:space="preserve"> 金额                        Số tiền</t>
  </si>
  <si>
    <t xml:space="preserve"> Số Km thực tế</t>
  </si>
  <si>
    <t>实际公里数</t>
  </si>
  <si>
    <t xml:space="preserve"> Số ngày thực tế</t>
  </si>
  <si>
    <t>  实际天数</t>
  </si>
  <si>
    <r>
      <t xml:space="preserve"> Số </t>
    </r>
    <r>
      <rPr>
        <b/>
        <sz val="14"/>
        <color theme="1"/>
        <rFont val="Times New Roman"/>
        <family val="1"/>
      </rPr>
      <t>KM</t>
    </r>
    <r>
      <rPr>
        <sz val="14"/>
        <color theme="1"/>
        <rFont val="Times New Roman"/>
        <family val="1"/>
      </rPr>
      <t xml:space="preserve"> phát sinh</t>
    </r>
  </si>
  <si>
    <r>
      <t>  出现的</t>
    </r>
    <r>
      <rPr>
        <b/>
        <sz val="14"/>
        <color theme="1"/>
        <rFont val="Times New Roman"/>
        <family val="1"/>
      </rPr>
      <t>KM</t>
    </r>
    <r>
      <rPr>
        <sz val="14"/>
        <color theme="1"/>
        <rFont val="Times New Roman"/>
        <family val="1"/>
      </rPr>
      <t>号码</t>
    </r>
  </si>
  <si>
    <t xml:space="preserve"> Số KM phát sinh CN</t>
  </si>
  <si>
    <t>产生的公里数</t>
  </si>
  <si>
    <t xml:space="preserve"> Lưu đêm</t>
  </si>
  <si>
    <t>一夜之间</t>
  </si>
  <si>
    <t xml:space="preserve"> Nội bài (ngày nghỉ) / 1 lần</t>
  </si>
  <si>
    <t> 机场（假日）/ 1次</t>
  </si>
  <si>
    <t xml:space="preserve"> Vé cầu đường, phí gửi xe</t>
  </si>
  <si>
    <t>  路票，停车费</t>
  </si>
  <si>
    <t xml:space="preserve"> Khác ( Ăn trưa)</t>
  </si>
  <si>
    <t>  其他（午餐）</t>
  </si>
  <si>
    <t xml:space="preserve"> Cộng tiền hàng</t>
  </si>
  <si>
    <t>金额</t>
  </si>
  <si>
    <t xml:space="preserve"> Thuế GTGT 0%</t>
  </si>
  <si>
    <t>  0％增值税</t>
  </si>
  <si>
    <t>0</t>
  </si>
  <si>
    <t>Tổng tiền thanh toán</t>
  </si>
  <si>
    <t>合计</t>
  </si>
  <si>
    <t xml:space="preserve">Bằng chữ: </t>
  </si>
  <si>
    <t>承租人Người mua hàng</t>
  </si>
  <si>
    <t>出租人 Người bán hàng</t>
  </si>
  <si>
    <t>签名(Ký, ghi rõ họ tên)</t>
  </si>
  <si>
    <t>NGÀY CHỦ NHẬT
/NGÀY LỄ</t>
  </si>
  <si>
    <t>CÔNG TY TNHH XÂY DỰNG VÀ VẬN TẢI ĐỨC HUY</t>
  </si>
  <si>
    <t>ĐC: Xóm sến, Thôn hùng lãm 3,Xã hồng thái, Huyện việt yên, Tỉnh bắc giang, Việt nam.</t>
  </si>
  <si>
    <t>Ngày chủ nhật di làm</t>
  </si>
  <si>
    <t>Tháng 11 năm 2022
2022年11月</t>
  </si>
  <si>
    <t>20:30</t>
  </si>
  <si>
    <t>Tháng 01 năm 2023
2023年1月</t>
  </si>
  <si>
    <t>ĐÓN CAI ZONG SANG VIỆT NAM( SÂN BAY-KÝ TÚC)</t>
  </si>
  <si>
    <t>LIN ZHI PENG+ CHEN JI QING VỀ NƯỚC (KÝ  TÚC-HỮU NGHỊ)</t>
  </si>
  <si>
    <t>HE JIANG FEN+ CHEN MING+ZHANG LL VỀ NƯỚC (KÝ  TÚC-HỮU NGHỊ)</t>
  </si>
  <si>
    <t>từ 7h30 đến 18h là 10.5 tiếng, anh ngọc đi 9h đến 18h là 8 tiếng</t>
  </si>
  <si>
    <t>CÔNG TY TNHH 98 AN PHÁT</t>
  </si>
  <si>
    <t>ĐC: Thôn Đức Liễn – Xã Hồng Thái – Huyện Việt Yên – Tỉnh Bắc Giang–Việt Nam.</t>
  </si>
  <si>
    <t>Số giờ tăng ca</t>
  </si>
  <si>
    <t>sếp báo trả anh ngọc 700k ngày chủ nhật +tăng ca</t>
  </si>
  <si>
    <t>Tháng 08 năm 2023
2023年8月</t>
  </si>
  <si>
    <t xml:space="preserve">                    CÔNG TY TNHH CÔNG NGHIỆP NIENYI VIỆT NAM</t>
  </si>
  <si>
    <t>礼拜天或节日超过时间</t>
  </si>
  <si>
    <t xml:space="preserve"> Giờ phụ trội ngày chủ nhật / lễ</t>
  </si>
  <si>
    <t>  星期天的数量时间</t>
  </si>
  <si>
    <t xml:space="preserve"> Số giờ ngày Chủ nhật, Ngày lễ</t>
  </si>
  <si>
    <t>Số giờ tăng ca 时间加班</t>
  </si>
  <si>
    <t>THÀNH TIỀN
tăng ca 金额加班</t>
  </si>
  <si>
    <t>Địa chỉ : Nhà xưởng CN-09-08, CN-09-09, Lô CN-09, Khu công nghiệp Vân Trung, Phường Nếnh, Tỉnh Bắc Ninh, Việt Nam.</t>
  </si>
  <si>
    <t>MST: 2400 860 701 nienyithanhtoan@gmail.com</t>
  </si>
  <si>
    <t>Loại xe: tải HOWO SINOTRUK 8 TẤN- BKS: 99H10378</t>
  </si>
  <si>
    <t>Phí vận chuyển hàng bằng xe tải 8 tấn:</t>
  </si>
  <si>
    <t xml:space="preserve">Chi phí tăng ca (Trước 8h00AM và sau 18h00 PM) </t>
  </si>
  <si>
    <r>
      <t>（</t>
    </r>
    <r>
      <rPr>
        <sz val="13"/>
        <color rgb="FF000000"/>
        <rFont val="Times New Roman"/>
        <family val="1"/>
      </rPr>
      <t>8:00</t>
    </r>
    <r>
      <rPr>
        <sz val="13"/>
        <color rgb="FF000000"/>
        <rFont val="SimSun"/>
      </rPr>
      <t>之前和早上</t>
    </r>
    <r>
      <rPr>
        <sz val="13"/>
        <color rgb="FF000000"/>
        <rFont val="Times New Roman"/>
        <family val="1"/>
      </rPr>
      <t>18:00</t>
    </r>
    <r>
      <rPr>
        <sz val="13"/>
        <color rgb="FF000000"/>
        <rFont val="SimSun"/>
      </rPr>
      <t>之后晚上）</t>
    </r>
  </si>
  <si>
    <r>
      <rPr>
        <b/>
        <u/>
        <sz val="13"/>
        <rFont val="Times New Roman"/>
        <family val="1"/>
      </rPr>
      <t xml:space="preserve">BÊN VẬN CHUYỂN: </t>
    </r>
    <r>
      <rPr>
        <b/>
        <sz val="13"/>
        <rFont val="Times New Roman"/>
        <family val="1"/>
      </rPr>
      <t>CÔNG TY TNHH KINH DOANH DỊCH VỤ VẬN TẢI ĐỨC ANH</t>
    </r>
  </si>
  <si>
    <t>Địa chỉ : Số 7, Tổ dân phố Hoàng Mai 1, Phường Nếnh, Tỉnh Bắc Ninh, Việt Nam.</t>
  </si>
  <si>
    <t>Số tài khoản: 1507438888 tại ngân hàng Vietcombank - Chi nhánh Tây Bắc Ninh.</t>
  </si>
  <si>
    <t>MST: 2401073432</t>
  </si>
  <si>
    <t>CÔNG TY TNHH KINH DOANH DỊCH VỤ VẬN TẢI ĐỨC ANH</t>
  </si>
  <si>
    <t>ĐC: Số 7, Tổ dân phố Hoàng Mai 1, Phường Nếnh, Tỉnh Bắc Ninh, Việt Nam.</t>
  </si>
  <si>
    <r>
      <t xml:space="preserve">Tháng 07 năm 2026
2026 </t>
    </r>
    <r>
      <rPr>
        <b/>
        <sz val="16"/>
        <rFont val="MS Gothic"/>
        <family val="3"/>
        <charset val="128"/>
      </rPr>
      <t>年07月</t>
    </r>
  </si>
  <si>
    <t xml:space="preserve">Bảng kế số 072026-02 ngày 25/07/2026 kèm hóa đơn số:            kí hiệu:    </t>
  </si>
  <si>
    <t>Bắc Ninh, ngày 25 tháng  07  năm 2026</t>
  </si>
  <si>
    <t>2026 年07月份的对账单    
BẢNG ĐỐI CHIẾU CÔNG NỢ CƯỚC XE THÁNG 07/2026</t>
  </si>
  <si>
    <t>Bốn mươi ba triệu hai trăm năm mươi nghìn đồng.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</si>
</sst>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_-* #,##0.00\ _₫_-;\-* #,##0.00\ _₫_-;_-* &quot;-&quot;??\ _₫_-;_-@_-"/>
    <numFmt numFmtId="166" formatCode="_ * #,##0.00_ ;_ * \-#,##0.00_ ;_ * &quot;-&quot;??_ ;_ @_ "/>
    <numFmt numFmtId="167" formatCode="h:mm;@"/>
    <numFmt numFmtId="168" formatCode="_(* #,##0.0_);_(* \(#,##0.0\);_(* &quot;-&quot;??_);_(@_)"/>
    <numFmt numFmtId="169" formatCode="0.0"/>
    <numFmt numFmtId="170" formatCode="#,##0.0"/>
    <numFmt numFmtId="171" formatCode="_-* #,##0\ _₫_-;\-* #,##0\ _₫_-;_-* &quot;-&quot;??\ _₫_-;_-@_-"/>
    <numFmt numFmtId="172" formatCode="_(* #,##0_);_(* \(#,##0\);_(* &quot;-&quot;??_);_(@_)"/>
    <numFmt numFmtId="173" formatCode="_-* #,##0.0\ _₫_-;\-* #,##0.0\ _₫_-;_-* &quot;-&quot;??\ _₫_-;_-@_-"/>
    <numFmt numFmtId="174" formatCode="[$VND]\ #,##0.00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Calibri"/>
      <family val="2"/>
      <scheme val="minor"/>
    </font>
    <font>
      <sz val="8.8000000000000007"/>
      <name val="Times New Roman"/>
      <family val="1"/>
    </font>
    <font>
      <sz val="8.8000000000000007"/>
      <color rgb="FFFF0000"/>
      <name val="Times New Roman"/>
      <family val="1"/>
    </font>
    <font>
      <b/>
      <sz val="8.8000000000000007"/>
      <color rgb="FFFF0000"/>
      <name val="Times New Roman"/>
      <family val="1"/>
    </font>
    <font>
      <b/>
      <sz val="8.8000000000000007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Times New Roman"/>
      <family val="1"/>
    </font>
    <font>
      <i/>
      <sz val="1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u/>
      <sz val="13"/>
      <name val="Times New Roman"/>
      <family val="1"/>
    </font>
    <font>
      <i/>
      <sz val="13"/>
      <name val="Times New Roman"/>
      <family val="1"/>
    </font>
    <font>
      <sz val="15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8.8000000000000007"/>
      <color theme="1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name val="Calibri"/>
      <family val="3"/>
      <charset val="134"/>
      <scheme val="minor"/>
    </font>
    <font>
      <sz val="11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34"/>
      <scheme val="minor"/>
    </font>
    <font>
      <sz val="16"/>
      <name val="Times New Roman"/>
      <family val="1"/>
    </font>
    <font>
      <b/>
      <i/>
      <sz val="16"/>
      <name val="Times New Roman"/>
      <family val="1"/>
    </font>
    <font>
      <b/>
      <sz val="16"/>
      <name val="MS Gothic"/>
      <family val="3"/>
      <charset val="128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3"/>
      <color rgb="FF000000"/>
      <name val="Times New Roman"/>
      <family val="1"/>
    </font>
    <font>
      <sz val="13"/>
      <color rgb="FF000000"/>
      <name val="SimSun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74" fontId="33" fillId="0" borderId="0">
      <alignment vertical="center"/>
    </xf>
  </cellStyleXfs>
  <cellXfs count="359">
    <xf numFmtId="0" fontId="0" fillId="0" borderId="0" xfId="0"/>
    <xf numFmtId="0" fontId="4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14" fontId="5" fillId="0" borderId="11" xfId="0" quotePrefix="1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right" vertical="center"/>
    </xf>
    <xf numFmtId="1" fontId="5" fillId="0" borderId="11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/>
    </xf>
    <xf numFmtId="167" fontId="5" fillId="0" borderId="11" xfId="0" applyNumberFormat="1" applyFont="1" applyBorder="1" applyAlignment="1">
      <alignment horizontal="center" vertical="center"/>
    </xf>
    <xf numFmtId="167" fontId="5" fillId="0" borderId="11" xfId="0" applyNumberFormat="1" applyFont="1" applyBorder="1" applyAlignment="1">
      <alignment horizontal="center"/>
    </xf>
    <xf numFmtId="168" fontId="5" fillId="0" borderId="11" xfId="1" applyNumberFormat="1" applyFont="1" applyFill="1" applyBorder="1" applyAlignment="1">
      <alignment horizontal="center"/>
    </xf>
    <xf numFmtId="3" fontId="5" fillId="0" borderId="11" xfId="0" applyNumberFormat="1" applyFont="1" applyBorder="1"/>
    <xf numFmtId="3" fontId="5" fillId="0" borderId="11" xfId="0" applyNumberFormat="1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3" fontId="6" fillId="0" borderId="11" xfId="0" applyNumberFormat="1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14" fontId="4" fillId="0" borderId="11" xfId="0" quotePrefix="1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right" vertical="center"/>
    </xf>
    <xf numFmtId="1" fontId="4" fillId="0" borderId="11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/>
    </xf>
    <xf numFmtId="167" fontId="4" fillId="0" borderId="11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/>
    </xf>
    <xf numFmtId="168" fontId="4" fillId="0" borderId="11" xfId="1" applyNumberFormat="1" applyFont="1" applyFill="1" applyBorder="1" applyAlignment="1">
      <alignment horizontal="center"/>
    </xf>
    <xf numFmtId="3" fontId="4" fillId="0" borderId="11" xfId="0" applyNumberFormat="1" applyFont="1" applyBorder="1"/>
    <xf numFmtId="3" fontId="4" fillId="0" borderId="11" xfId="0" applyNumberFormat="1" applyFont="1" applyBorder="1" applyAlignment="1">
      <alignment horizontal="right"/>
    </xf>
    <xf numFmtId="0" fontId="4" fillId="0" borderId="11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3" fontId="7" fillId="0" borderId="11" xfId="0" applyNumberFormat="1" applyFont="1" applyBorder="1" applyAlignment="1">
      <alignment horizontal="right"/>
    </xf>
    <xf numFmtId="169" fontId="4" fillId="0" borderId="11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16" fontId="4" fillId="0" borderId="13" xfId="0" applyNumberFormat="1" applyFont="1" applyBorder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/>
    <xf numFmtId="14" fontId="1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 wrapText="1"/>
    </xf>
    <xf numFmtId="14" fontId="7" fillId="2" borderId="2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3" fontId="7" fillId="2" borderId="2" xfId="0" applyNumberFormat="1" applyFont="1" applyFill="1" applyBorder="1"/>
    <xf numFmtId="1" fontId="7" fillId="2" borderId="2" xfId="0" applyNumberFormat="1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right" vertical="center"/>
    </xf>
    <xf numFmtId="14" fontId="7" fillId="0" borderId="14" xfId="0" quotePrefix="1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right" vertical="center"/>
    </xf>
    <xf numFmtId="1" fontId="7" fillId="0" borderId="14" xfId="0" applyNumberFormat="1" applyFont="1" applyBorder="1" applyAlignment="1">
      <alignment horizontal="center" vertical="center"/>
    </xf>
    <xf numFmtId="171" fontId="7" fillId="0" borderId="14" xfId="1" applyNumberFormat="1" applyFont="1" applyFill="1" applyBorder="1" applyAlignment="1">
      <alignment horizontal="center" vertical="center"/>
    </xf>
    <xf numFmtId="167" fontId="7" fillId="0" borderId="14" xfId="0" applyNumberFormat="1" applyFont="1" applyBorder="1" applyAlignment="1">
      <alignment horizontal="center"/>
    </xf>
    <xf numFmtId="3" fontId="7" fillId="0" borderId="14" xfId="0" applyNumberFormat="1" applyFont="1" applyBorder="1"/>
    <xf numFmtId="3" fontId="7" fillId="0" borderId="14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4" fontId="4" fillId="2" borderId="0" xfId="0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170" fontId="7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/>
    <xf numFmtId="3" fontId="7" fillId="2" borderId="0" xfId="0" applyNumberFormat="1" applyFont="1" applyFill="1" applyAlignment="1">
      <alignment horizontal="right" vertical="center"/>
    </xf>
    <xf numFmtId="169" fontId="7" fillId="2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71" fontId="12" fillId="2" borderId="0" xfId="0" applyNumberFormat="1" applyFont="1" applyFill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169" fontId="5" fillId="0" borderId="11" xfId="0" applyNumberFormat="1" applyFont="1" applyBorder="1" applyAlignment="1">
      <alignment horizontal="center"/>
    </xf>
    <xf numFmtId="167" fontId="7" fillId="0" borderId="14" xfId="0" applyNumberFormat="1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16" fontId="5" fillId="0" borderId="12" xfId="0" applyNumberFormat="1" applyFont="1" applyBorder="1" applyAlignment="1">
      <alignment horizontal="center" vertical="center"/>
    </xf>
    <xf numFmtId="168" fontId="4" fillId="3" borderId="11" xfId="1" applyNumberFormat="1" applyFont="1" applyFill="1" applyBorder="1" applyAlignment="1">
      <alignment horizontal="center"/>
    </xf>
    <xf numFmtId="167" fontId="4" fillId="3" borderId="11" xfId="0" applyNumberFormat="1" applyFont="1" applyFill="1" applyBorder="1" applyAlignment="1">
      <alignment horizontal="center" vertical="center"/>
    </xf>
    <xf numFmtId="3" fontId="4" fillId="3" borderId="11" xfId="0" applyNumberFormat="1" applyFont="1" applyFill="1" applyBorder="1"/>
    <xf numFmtId="167" fontId="4" fillId="3" borderId="11" xfId="0" applyNumberFormat="1" applyFont="1" applyFill="1" applyBorder="1" applyAlignment="1">
      <alignment horizontal="center"/>
    </xf>
    <xf numFmtId="14" fontId="11" fillId="3" borderId="0" xfId="0" applyNumberFormat="1" applyFont="1" applyFill="1" applyAlignment="1">
      <alignment vertical="center"/>
    </xf>
    <xf numFmtId="14" fontId="11" fillId="3" borderId="0" xfId="0" applyNumberFormat="1" applyFont="1" applyFill="1" applyAlignment="1">
      <alignment horizontal="center" vertical="center"/>
    </xf>
    <xf numFmtId="167" fontId="4" fillId="2" borderId="11" xfId="0" applyNumberFormat="1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16" fontId="4" fillId="0" borderId="12" xfId="0" applyNumberFormat="1" applyFont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0" borderId="0" xfId="0" applyFont="1"/>
    <xf numFmtId="0" fontId="18" fillId="2" borderId="0" xfId="0" applyFont="1" applyFill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172" fontId="17" fillId="0" borderId="0" xfId="1" applyNumberFormat="1" applyFont="1" applyFill="1" applyAlignment="1">
      <alignment horizontal="left" vertical="center"/>
    </xf>
    <xf numFmtId="0" fontId="12" fillId="0" borderId="0" xfId="0" applyFont="1"/>
    <xf numFmtId="172" fontId="18" fillId="0" borderId="0" xfId="1" applyNumberFormat="1" applyFont="1" applyFill="1" applyAlignment="1">
      <alignment horizontal="left" vertical="center" wrapText="1"/>
    </xf>
    <xf numFmtId="172" fontId="21" fillId="0" borderId="0" xfId="1" applyNumberFormat="1" applyFont="1" applyFill="1" applyAlignment="1">
      <alignment horizontal="left" vertical="center" wrapText="1"/>
    </xf>
    <xf numFmtId="0" fontId="22" fillId="0" borderId="0" xfId="0" applyFont="1" applyAlignment="1">
      <alignment wrapText="1"/>
    </xf>
    <xf numFmtId="0" fontId="18" fillId="0" borderId="0" xfId="0" applyFont="1"/>
    <xf numFmtId="172" fontId="23" fillId="0" borderId="3" xfId="1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172" fontId="23" fillId="0" borderId="3" xfId="1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72" fontId="23" fillId="0" borderId="0" xfId="0" applyNumberFormat="1" applyFont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172" fontId="24" fillId="0" borderId="0" xfId="1" applyNumberFormat="1" applyFont="1" applyAlignment="1">
      <alignment horizontal="center" vertical="center"/>
    </xf>
    <xf numFmtId="168" fontId="26" fillId="2" borderId="11" xfId="1" applyNumberFormat="1" applyFont="1" applyFill="1" applyBorder="1" applyAlignment="1">
      <alignment horizontal="center"/>
    </xf>
    <xf numFmtId="3" fontId="26" fillId="2" borderId="11" xfId="0" applyNumberFormat="1" applyFont="1" applyFill="1" applyBorder="1"/>
    <xf numFmtId="3" fontId="4" fillId="2" borderId="11" xfId="0" applyNumberFormat="1" applyFont="1" applyFill="1" applyBorder="1" applyAlignment="1">
      <alignment horizontal="center"/>
    </xf>
    <xf numFmtId="167" fontId="5" fillId="2" borderId="11" xfId="0" applyNumberFormat="1" applyFont="1" applyFill="1" applyBorder="1" applyAlignment="1">
      <alignment horizontal="center"/>
    </xf>
    <xf numFmtId="3" fontId="5" fillId="2" borderId="11" xfId="0" applyNumberFormat="1" applyFont="1" applyFill="1" applyBorder="1" applyAlignment="1">
      <alignment horizontal="center"/>
    </xf>
    <xf numFmtId="1" fontId="4" fillId="2" borderId="11" xfId="0" applyNumberFormat="1" applyFont="1" applyFill="1" applyBorder="1" applyAlignment="1">
      <alignment horizontal="right" vertical="center"/>
    </xf>
    <xf numFmtId="14" fontId="11" fillId="2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horizontal="center" vertical="center"/>
    </xf>
    <xf numFmtId="171" fontId="7" fillId="0" borderId="0" xfId="0" applyNumberFormat="1" applyFont="1" applyAlignment="1">
      <alignment horizontal="center" vertical="center"/>
    </xf>
    <xf numFmtId="1" fontId="4" fillId="2" borderId="11" xfId="0" applyNumberFormat="1" applyFont="1" applyFill="1" applyBorder="1" applyAlignment="1">
      <alignment horizontal="center" vertical="center"/>
    </xf>
    <xf numFmtId="1" fontId="7" fillId="0" borderId="14" xfId="0" applyNumberFormat="1" applyFont="1" applyBorder="1" applyAlignment="1">
      <alignment vertical="center"/>
    </xf>
    <xf numFmtId="171" fontId="7" fillId="0" borderId="14" xfId="1" applyNumberFormat="1" applyFont="1" applyFill="1" applyBorder="1" applyAlignment="1">
      <alignment vertical="center"/>
    </xf>
    <xf numFmtId="167" fontId="4" fillId="2" borderId="11" xfId="0" applyNumberFormat="1" applyFont="1" applyFill="1" applyBorder="1" applyAlignment="1">
      <alignment horizontal="center" vertical="center"/>
    </xf>
    <xf numFmtId="3" fontId="5" fillId="2" borderId="11" xfId="0" applyNumberFormat="1" applyFont="1" applyFill="1" applyBorder="1"/>
    <xf numFmtId="3" fontId="4" fillId="2" borderId="11" xfId="0" applyNumberFormat="1" applyFont="1" applyFill="1" applyBorder="1" applyAlignment="1">
      <alignment horizontal="right"/>
    </xf>
    <xf numFmtId="167" fontId="7" fillId="2" borderId="14" xfId="0" applyNumberFormat="1" applyFont="1" applyFill="1" applyBorder="1" applyAlignment="1">
      <alignment vertical="center"/>
    </xf>
    <xf numFmtId="1" fontId="7" fillId="2" borderId="14" xfId="0" applyNumberFormat="1" applyFont="1" applyFill="1" applyBorder="1" applyAlignment="1">
      <alignment vertical="center"/>
    </xf>
    <xf numFmtId="3" fontId="7" fillId="2" borderId="14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171" fontId="4" fillId="0" borderId="11" xfId="1" applyNumberFormat="1" applyFont="1" applyFill="1" applyBorder="1" applyAlignment="1">
      <alignment horizontal="center"/>
    </xf>
    <xf numFmtId="170" fontId="4" fillId="0" borderId="11" xfId="0" applyNumberFormat="1" applyFont="1" applyBorder="1" applyAlignment="1">
      <alignment horizontal="center"/>
    </xf>
    <xf numFmtId="171" fontId="7" fillId="2" borderId="14" xfId="1" applyNumberFormat="1" applyFont="1" applyFill="1" applyBorder="1" applyAlignment="1">
      <alignment vertical="center"/>
    </xf>
    <xf numFmtId="173" fontId="7" fillId="0" borderId="14" xfId="1" applyNumberFormat="1" applyFont="1" applyFill="1" applyBorder="1" applyAlignment="1">
      <alignment vertical="center"/>
    </xf>
    <xf numFmtId="14" fontId="4" fillId="2" borderId="11" xfId="0" quotePrefix="1" applyNumberFormat="1" applyFont="1" applyFill="1" applyBorder="1" applyAlignment="1">
      <alignment horizontal="center" vertical="center"/>
    </xf>
    <xf numFmtId="167" fontId="4" fillId="2" borderId="11" xfId="0" quotePrefix="1" applyNumberFormat="1" applyFont="1" applyFill="1" applyBorder="1" applyAlignment="1">
      <alignment horizontal="center" vertical="center"/>
    </xf>
    <xf numFmtId="14" fontId="4" fillId="3" borderId="11" xfId="0" quotePrefix="1" applyNumberFormat="1" applyFont="1" applyFill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right" vertical="center"/>
    </xf>
    <xf numFmtId="1" fontId="4" fillId="3" borderId="11" xfId="0" applyNumberFormat="1" applyFont="1" applyFill="1" applyBorder="1" applyAlignment="1">
      <alignment horizontal="center" vertical="center"/>
    </xf>
    <xf numFmtId="171" fontId="7" fillId="0" borderId="14" xfId="1" applyNumberFormat="1" applyFont="1" applyFill="1" applyBorder="1" applyAlignment="1">
      <alignment horizontal="right" vertical="center" indent="1"/>
    </xf>
    <xf numFmtId="168" fontId="26" fillId="3" borderId="11" xfId="1" applyNumberFormat="1" applyFont="1" applyFill="1" applyBorder="1" applyAlignment="1">
      <alignment horizontal="center"/>
    </xf>
    <xf numFmtId="3" fontId="26" fillId="3" borderId="11" xfId="0" applyNumberFormat="1" applyFont="1" applyFill="1" applyBorder="1"/>
    <xf numFmtId="173" fontId="12" fillId="2" borderId="0" xfId="1" applyNumberFormat="1" applyFont="1" applyFill="1" applyAlignment="1">
      <alignment horizontal="center" vertical="center"/>
    </xf>
    <xf numFmtId="171" fontId="12" fillId="2" borderId="0" xfId="1" applyNumberFormat="1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1" fontId="4" fillId="2" borderId="11" xfId="0" applyNumberFormat="1" applyFont="1" applyFill="1" applyBorder="1" applyAlignment="1">
      <alignment horizontal="center"/>
    </xf>
    <xf numFmtId="3" fontId="7" fillId="2" borderId="11" xfId="0" applyNumberFormat="1" applyFont="1" applyFill="1" applyBorder="1" applyAlignment="1">
      <alignment horizontal="right"/>
    </xf>
    <xf numFmtId="169" fontId="4" fillId="2" borderId="11" xfId="0" applyNumberFormat="1" applyFont="1" applyFill="1" applyBorder="1" applyAlignment="1">
      <alignment horizontal="center"/>
    </xf>
    <xf numFmtId="171" fontId="4" fillId="2" borderId="11" xfId="1" applyNumberFormat="1" applyFont="1" applyFill="1" applyBorder="1" applyAlignment="1">
      <alignment horizontal="center"/>
    </xf>
    <xf numFmtId="1" fontId="7" fillId="2" borderId="14" xfId="0" applyNumberFormat="1" applyFont="1" applyFill="1" applyBorder="1" applyAlignment="1">
      <alignment horizontal="right" vertical="center"/>
    </xf>
    <xf numFmtId="173" fontId="7" fillId="2" borderId="14" xfId="1" applyNumberFormat="1" applyFont="1" applyFill="1" applyBorder="1" applyAlignment="1">
      <alignment vertical="center"/>
    </xf>
    <xf numFmtId="171" fontId="7" fillId="2" borderId="14" xfId="1" applyNumberFormat="1" applyFont="1" applyFill="1" applyBorder="1" applyAlignment="1">
      <alignment horizontal="right" vertical="center" indent="1"/>
    </xf>
    <xf numFmtId="0" fontId="5" fillId="4" borderId="0" xfId="0" applyFont="1" applyFill="1" applyAlignment="1">
      <alignment horizontal="center" vertical="center"/>
    </xf>
    <xf numFmtId="171" fontId="5" fillId="4" borderId="0" xfId="0" applyNumberFormat="1" applyFont="1" applyFill="1" applyAlignment="1">
      <alignment horizontal="center" vertical="center"/>
    </xf>
    <xf numFmtId="173" fontId="4" fillId="2" borderId="11" xfId="1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16" fontId="4" fillId="3" borderId="0" xfId="0" applyNumberFormat="1" applyFont="1" applyFill="1" applyAlignment="1">
      <alignment horizontal="center" vertical="center"/>
    </xf>
    <xf numFmtId="3" fontId="4" fillId="3" borderId="11" xfId="0" applyNumberFormat="1" applyFont="1" applyFill="1" applyBorder="1" applyAlignment="1">
      <alignment horizontal="center"/>
    </xf>
    <xf numFmtId="3" fontId="4" fillId="3" borderId="11" xfId="0" applyNumberFormat="1" applyFont="1" applyFill="1" applyBorder="1" applyAlignment="1">
      <alignment horizontal="right"/>
    </xf>
    <xf numFmtId="173" fontId="4" fillId="3" borderId="11" xfId="1" applyNumberFormat="1" applyFont="1" applyFill="1" applyBorder="1" applyAlignment="1">
      <alignment horizontal="center"/>
    </xf>
    <xf numFmtId="171" fontId="4" fillId="3" borderId="11" xfId="1" applyNumberFormat="1" applyFont="1" applyFill="1" applyBorder="1" applyAlignment="1">
      <alignment horizontal="center"/>
    </xf>
    <xf numFmtId="1" fontId="4" fillId="3" borderId="11" xfId="0" applyNumberFormat="1" applyFont="1" applyFill="1" applyBorder="1" applyAlignment="1">
      <alignment horizontal="center"/>
    </xf>
    <xf numFmtId="3" fontId="7" fillId="3" borderId="11" xfId="0" applyNumberFormat="1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167" fontId="5" fillId="2" borderId="11" xfId="0" applyNumberFormat="1" applyFont="1" applyFill="1" applyBorder="1" applyAlignment="1">
      <alignment horizontal="center" vertical="center"/>
    </xf>
    <xf numFmtId="169" fontId="10" fillId="2" borderId="0" xfId="0" applyNumberFormat="1" applyFont="1" applyFill="1" applyAlignment="1">
      <alignment horizontal="center" vertical="center"/>
    </xf>
    <xf numFmtId="169" fontId="12" fillId="2" borderId="0" xfId="0" applyNumberFormat="1" applyFont="1" applyFill="1" applyAlignment="1">
      <alignment horizontal="center" vertical="center"/>
    </xf>
    <xf numFmtId="169" fontId="7" fillId="2" borderId="2" xfId="0" applyNumberFormat="1" applyFont="1" applyFill="1" applyBorder="1" applyAlignment="1">
      <alignment horizontal="center" vertical="center"/>
    </xf>
    <xf numFmtId="169" fontId="5" fillId="2" borderId="11" xfId="0" applyNumberFormat="1" applyFont="1" applyFill="1" applyBorder="1" applyAlignment="1">
      <alignment horizontal="center" vertical="center"/>
    </xf>
    <xf numFmtId="169" fontId="4" fillId="3" borderId="11" xfId="0" applyNumberFormat="1" applyFont="1" applyFill="1" applyBorder="1" applyAlignment="1">
      <alignment horizontal="center"/>
    </xf>
    <xf numFmtId="169" fontId="5" fillId="2" borderId="11" xfId="0" applyNumberFormat="1" applyFont="1" applyFill="1" applyBorder="1" applyAlignment="1">
      <alignment horizontal="center"/>
    </xf>
    <xf numFmtId="165" fontId="7" fillId="2" borderId="14" xfId="1" applyFont="1" applyFill="1" applyBorder="1" applyAlignment="1">
      <alignment vertical="center"/>
    </xf>
    <xf numFmtId="167" fontId="10" fillId="2" borderId="0" xfId="0" applyNumberFormat="1" applyFont="1" applyFill="1" applyAlignment="1">
      <alignment horizontal="center" vertical="center"/>
    </xf>
    <xf numFmtId="167" fontId="11" fillId="2" borderId="0" xfId="0" applyNumberFormat="1" applyFont="1" applyFill="1" applyAlignment="1">
      <alignment vertical="center"/>
    </xf>
    <xf numFmtId="167" fontId="12" fillId="2" borderId="0" xfId="0" applyNumberFormat="1" applyFont="1" applyFill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6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173" fontId="4" fillId="2" borderId="11" xfId="1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6" fontId="4" fillId="2" borderId="13" xfId="0" applyNumberFormat="1" applyFont="1" applyFill="1" applyBorder="1" applyAlignment="1">
      <alignment horizontal="center" vertical="center"/>
    </xf>
    <xf numFmtId="169" fontId="4" fillId="2" borderId="11" xfId="0" applyNumberFormat="1" applyFont="1" applyFill="1" applyBorder="1" applyAlignment="1">
      <alignment horizontal="center" vertical="center"/>
    </xf>
    <xf numFmtId="170" fontId="4" fillId="2" borderId="11" xfId="0" applyNumberFormat="1" applyFont="1" applyFill="1" applyBorder="1" applyAlignment="1">
      <alignment horizontal="center"/>
    </xf>
    <xf numFmtId="3" fontId="4" fillId="5" borderId="11" xfId="0" applyNumberFormat="1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16" fontId="4" fillId="3" borderId="12" xfId="0" applyNumberFormat="1" applyFont="1" applyFill="1" applyBorder="1" applyAlignment="1">
      <alignment horizontal="center" vertical="center"/>
    </xf>
    <xf numFmtId="168" fontId="24" fillId="0" borderId="3" xfId="1" applyNumberFormat="1" applyFont="1" applyFill="1" applyBorder="1" applyAlignment="1">
      <alignment horizontal="center" vertical="center"/>
    </xf>
    <xf numFmtId="172" fontId="23" fillId="0" borderId="3" xfId="1" applyNumberFormat="1" applyFont="1" applyFill="1" applyBorder="1" applyAlignment="1">
      <alignment horizontal="center" vertical="center"/>
    </xf>
    <xf numFmtId="172" fontId="24" fillId="0" borderId="3" xfId="1" applyNumberFormat="1" applyFont="1" applyFill="1" applyBorder="1" applyAlignment="1">
      <alignment horizontal="center" vertical="center"/>
    </xf>
    <xf numFmtId="172" fontId="23" fillId="0" borderId="3" xfId="1" quotePrefix="1" applyNumberFormat="1" applyFont="1" applyFill="1" applyBorder="1" applyAlignment="1">
      <alignment horizontal="center" vertical="center"/>
    </xf>
    <xf numFmtId="173" fontId="12" fillId="0" borderId="0" xfId="1" applyNumberFormat="1" applyFont="1" applyFill="1" applyAlignment="1">
      <alignment horizontal="center" vertical="center"/>
    </xf>
    <xf numFmtId="173" fontId="7" fillId="0" borderId="0" xfId="1" applyNumberFormat="1" applyFont="1" applyFill="1" applyAlignment="1">
      <alignment horizontal="center" vertical="center"/>
    </xf>
    <xf numFmtId="171" fontId="12" fillId="0" borderId="0" xfId="1" applyNumberFormat="1" applyFont="1" applyFill="1" applyAlignment="1">
      <alignment horizontal="center" vertical="center"/>
    </xf>
    <xf numFmtId="49" fontId="24" fillId="0" borderId="3" xfId="1" applyNumberFormat="1" applyFont="1" applyFill="1" applyBorder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170" fontId="7" fillId="0" borderId="0" xfId="0" applyNumberFormat="1" applyFont="1" applyAlignment="1">
      <alignment horizontal="center" vertical="center"/>
    </xf>
    <xf numFmtId="3" fontId="4" fillId="0" borderId="0" xfId="0" applyNumberFormat="1" applyFont="1"/>
    <xf numFmtId="3" fontId="7" fillId="0" borderId="0" xfId="0" applyNumberFormat="1" applyFont="1" applyAlignment="1">
      <alignment horizontal="right" vertical="center"/>
    </xf>
    <xf numFmtId="169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71" fontId="4" fillId="0" borderId="0" xfId="0" applyNumberFormat="1" applyFont="1" applyAlignment="1">
      <alignment horizontal="center" vertical="center"/>
    </xf>
    <xf numFmtId="171" fontId="12" fillId="0" borderId="0" xfId="0" applyNumberFormat="1" applyFont="1" applyAlignment="1">
      <alignment horizontal="center" vertical="center"/>
    </xf>
    <xf numFmtId="43" fontId="12" fillId="0" borderId="0" xfId="0" applyNumberFormat="1" applyFont="1"/>
    <xf numFmtId="3" fontId="1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171" fontId="28" fillId="0" borderId="0" xfId="0" applyNumberFormat="1" applyFont="1" applyAlignment="1">
      <alignment horizontal="center" vertical="center"/>
    </xf>
    <xf numFmtId="171" fontId="12" fillId="0" borderId="0" xfId="0" applyNumberFormat="1" applyFont="1"/>
    <xf numFmtId="0" fontId="5" fillId="3" borderId="0" xfId="0" applyFont="1" applyFill="1" applyAlignment="1">
      <alignment horizontal="center" vertical="center"/>
    </xf>
    <xf numFmtId="16" fontId="5" fillId="3" borderId="0" xfId="0" applyNumberFormat="1" applyFont="1" applyFill="1" applyAlignment="1">
      <alignment horizontal="center" vertical="center"/>
    </xf>
    <xf numFmtId="14" fontId="9" fillId="2" borderId="18" xfId="2" applyNumberFormat="1" applyFont="1" applyFill="1" applyBorder="1" applyAlignment="1">
      <alignment horizontal="center" vertical="center" wrapText="1"/>
    </xf>
    <xf numFmtId="1" fontId="10" fillId="2" borderId="11" xfId="0" applyNumberFormat="1" applyFont="1" applyFill="1" applyBorder="1" applyAlignment="1">
      <alignment horizontal="center" vertical="center"/>
    </xf>
    <xf numFmtId="3" fontId="10" fillId="2" borderId="11" xfId="0" applyNumberFormat="1" applyFont="1" applyFill="1" applyBorder="1" applyAlignment="1">
      <alignment horizontal="center"/>
    </xf>
    <xf numFmtId="167" fontId="10" fillId="2" borderId="11" xfId="0" applyNumberFormat="1" applyFont="1" applyFill="1" applyBorder="1" applyAlignment="1">
      <alignment horizontal="center" vertical="center"/>
    </xf>
    <xf numFmtId="171" fontId="10" fillId="2" borderId="11" xfId="1" applyNumberFormat="1" applyFont="1" applyFill="1" applyBorder="1" applyAlignment="1">
      <alignment horizontal="center" vertical="center"/>
    </xf>
    <xf numFmtId="168" fontId="37" fillId="2" borderId="11" xfId="1" applyNumberFormat="1" applyFont="1" applyFill="1" applyBorder="1" applyAlignment="1">
      <alignment horizontal="center"/>
    </xf>
    <xf numFmtId="3" fontId="37" fillId="2" borderId="11" xfId="0" applyNumberFormat="1" applyFont="1" applyFill="1" applyBorder="1"/>
    <xf numFmtId="3" fontId="10" fillId="2" borderId="11" xfId="0" applyNumberFormat="1" applyFont="1" applyFill="1" applyBorder="1" applyAlignment="1">
      <alignment horizontal="right"/>
    </xf>
    <xf numFmtId="173" fontId="10" fillId="2" borderId="11" xfId="1" applyNumberFormat="1" applyFont="1" applyFill="1" applyBorder="1" applyAlignment="1">
      <alignment horizontal="center"/>
    </xf>
    <xf numFmtId="171" fontId="10" fillId="2" borderId="11" xfId="1" applyNumberFormat="1" applyFont="1" applyFill="1" applyBorder="1" applyAlignment="1">
      <alignment horizontal="center"/>
    </xf>
    <xf numFmtId="3" fontId="10" fillId="2" borderId="16" xfId="0" applyNumberFormat="1" applyFont="1" applyFill="1" applyBorder="1" applyAlignment="1">
      <alignment horizontal="center" vertical="center"/>
    </xf>
    <xf numFmtId="3" fontId="9" fillId="2" borderId="11" xfId="0" applyNumberFormat="1" applyFont="1" applyFill="1" applyBorder="1" applyAlignment="1">
      <alignment horizontal="right"/>
    </xf>
    <xf numFmtId="3" fontId="38" fillId="2" borderId="11" xfId="0" applyNumberFormat="1" applyFont="1" applyFill="1" applyBorder="1" applyAlignment="1">
      <alignment horizontal="center"/>
    </xf>
    <xf numFmtId="49" fontId="10" fillId="2" borderId="11" xfId="0" applyNumberFormat="1" applyFont="1" applyFill="1" applyBorder="1" applyAlignment="1">
      <alignment horizontal="center"/>
    </xf>
    <xf numFmtId="168" fontId="10" fillId="2" borderId="11" xfId="1" applyNumberFormat="1" applyFont="1" applyFill="1" applyBorder="1" applyAlignment="1">
      <alignment horizontal="center"/>
    </xf>
    <xf numFmtId="3" fontId="10" fillId="2" borderId="11" xfId="0" applyNumberFormat="1" applyFont="1" applyFill="1" applyBorder="1"/>
    <xf numFmtId="0" fontId="10" fillId="2" borderId="11" xfId="0" applyFont="1" applyFill="1" applyBorder="1" applyAlignment="1">
      <alignment horizontal="center" vertical="center"/>
    </xf>
    <xf numFmtId="167" fontId="34" fillId="2" borderId="0" xfId="0" applyNumberFormat="1" applyFont="1" applyFill="1" applyAlignment="1">
      <alignment horizontal="center" vertical="center"/>
    </xf>
    <xf numFmtId="169" fontId="34" fillId="2" borderId="0" xfId="0" applyNumberFormat="1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4" fillId="2" borderId="0" xfId="0" applyFont="1" applyFill="1"/>
    <xf numFmtId="14" fontId="35" fillId="2" borderId="0" xfId="0" applyNumberFormat="1" applyFont="1" applyFill="1" applyAlignment="1">
      <alignment vertical="center"/>
    </xf>
    <xf numFmtId="14" fontId="35" fillId="2" borderId="0" xfId="0" applyNumberFormat="1" applyFont="1" applyFill="1" applyAlignment="1">
      <alignment horizontal="center" vertical="center"/>
    </xf>
    <xf numFmtId="167" fontId="35" fillId="2" borderId="0" xfId="0" applyNumberFormat="1" applyFont="1" applyFill="1" applyAlignment="1">
      <alignment vertical="center"/>
    </xf>
    <xf numFmtId="169" fontId="28" fillId="2" borderId="0" xfId="0" applyNumberFormat="1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73" fontId="8" fillId="2" borderId="3" xfId="1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14" fontId="7" fillId="2" borderId="2" xfId="0" applyNumberFormat="1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/>
    </xf>
    <xf numFmtId="3" fontId="13" fillId="2" borderId="9" xfId="0" applyNumberFormat="1" applyFont="1" applyFill="1" applyBorder="1" applyAlignment="1">
      <alignment horizontal="center" vertical="center"/>
    </xf>
    <xf numFmtId="167" fontId="12" fillId="2" borderId="11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3" fontId="31" fillId="2" borderId="11" xfId="0" applyNumberFormat="1" applyFont="1" applyFill="1" applyBorder="1"/>
    <xf numFmtId="3" fontId="12" fillId="2" borderId="11" xfId="0" applyNumberFormat="1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1" fontId="13" fillId="2" borderId="2" xfId="0" applyNumberFormat="1" applyFont="1" applyFill="1" applyBorder="1" applyAlignment="1">
      <alignment horizontal="center" vertical="center"/>
    </xf>
    <xf numFmtId="3" fontId="9" fillId="2" borderId="2" xfId="0" applyNumberFormat="1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center"/>
    </xf>
    <xf numFmtId="14" fontId="9" fillId="2" borderId="19" xfId="2" applyNumberFormat="1" applyFont="1" applyFill="1" applyBorder="1" applyAlignment="1">
      <alignment horizontal="center" vertical="center" wrapText="1"/>
    </xf>
    <xf numFmtId="1" fontId="10" fillId="2" borderId="20" xfId="0" applyNumberFormat="1" applyFont="1" applyFill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/>
    </xf>
    <xf numFmtId="3" fontId="38" fillId="2" borderId="20" xfId="0" applyNumberFormat="1" applyFont="1" applyFill="1" applyBorder="1" applyAlignment="1">
      <alignment horizontal="center"/>
    </xf>
    <xf numFmtId="167" fontId="10" fillId="2" borderId="20" xfId="0" applyNumberFormat="1" applyFont="1" applyFill="1" applyBorder="1" applyAlignment="1">
      <alignment horizontal="center" vertical="center"/>
    </xf>
    <xf numFmtId="170" fontId="10" fillId="2" borderId="20" xfId="0" applyNumberFormat="1" applyFont="1" applyFill="1" applyBorder="1" applyAlignment="1">
      <alignment horizontal="center"/>
    </xf>
    <xf numFmtId="171" fontId="10" fillId="2" borderId="20" xfId="1" applyNumberFormat="1" applyFont="1" applyFill="1" applyBorder="1" applyAlignment="1">
      <alignment horizontal="center" vertical="center"/>
    </xf>
    <xf numFmtId="171" fontId="10" fillId="2" borderId="20" xfId="1" applyNumberFormat="1" applyFont="1" applyFill="1" applyBorder="1" applyAlignment="1">
      <alignment horizontal="center"/>
    </xf>
    <xf numFmtId="3" fontId="10" fillId="2" borderId="21" xfId="0" applyNumberFormat="1" applyFont="1" applyFill="1" applyBorder="1" applyAlignment="1">
      <alignment horizontal="center" vertical="center"/>
    </xf>
    <xf numFmtId="3" fontId="9" fillId="2" borderId="20" xfId="0" applyNumberFormat="1" applyFont="1" applyFill="1" applyBorder="1" applyAlignment="1">
      <alignment horizontal="right"/>
    </xf>
    <xf numFmtId="14" fontId="8" fillId="2" borderId="3" xfId="0" quotePrefix="1" applyNumberFormat="1" applyFont="1" applyFill="1" applyBorder="1" applyAlignment="1">
      <alignment horizontal="center" vertical="center"/>
    </xf>
    <xf numFmtId="1" fontId="8" fillId="2" borderId="3" xfId="0" applyNumberFormat="1" applyFont="1" applyFill="1" applyBorder="1" applyAlignment="1">
      <alignment horizontal="center" vertical="center"/>
    </xf>
    <xf numFmtId="1" fontId="9" fillId="2" borderId="3" xfId="0" applyNumberFormat="1" applyFont="1" applyFill="1" applyBorder="1" applyAlignment="1">
      <alignment horizontal="right" vertical="center"/>
    </xf>
    <xf numFmtId="1" fontId="13" fillId="2" borderId="3" xfId="0" applyNumberFormat="1" applyFont="1" applyFill="1" applyBorder="1" applyAlignment="1">
      <alignment horizontal="center" vertical="center"/>
    </xf>
    <xf numFmtId="1" fontId="9" fillId="2" borderId="3" xfId="0" applyNumberFormat="1" applyFont="1" applyFill="1" applyBorder="1" applyAlignment="1">
      <alignment vertical="center"/>
    </xf>
    <xf numFmtId="3" fontId="13" fillId="2" borderId="3" xfId="0" applyNumberFormat="1" applyFont="1" applyFill="1" applyBorder="1" applyAlignment="1">
      <alignment horizontal="center" vertical="center"/>
    </xf>
    <xf numFmtId="171" fontId="9" fillId="2" borderId="3" xfId="1" applyNumberFormat="1" applyFont="1" applyFill="1" applyBorder="1" applyAlignment="1">
      <alignment vertical="center"/>
    </xf>
    <xf numFmtId="167" fontId="9" fillId="2" borderId="3" xfId="0" applyNumberFormat="1" applyFont="1" applyFill="1" applyBorder="1" applyAlignment="1">
      <alignment vertical="center"/>
    </xf>
    <xf numFmtId="169" fontId="9" fillId="2" borderId="3" xfId="1" applyNumberFormat="1" applyFont="1" applyFill="1" applyBorder="1" applyAlignment="1">
      <alignment vertical="center"/>
    </xf>
    <xf numFmtId="3" fontId="9" fillId="2" borderId="3" xfId="0" applyNumberFormat="1" applyFont="1" applyFill="1" applyBorder="1" applyAlignment="1">
      <alignment vertical="center"/>
    </xf>
    <xf numFmtId="49" fontId="9" fillId="2" borderId="3" xfId="1" applyNumberFormat="1" applyFont="1" applyFill="1" applyBorder="1" applyAlignment="1">
      <alignment horizontal="center" vertical="center"/>
    </xf>
    <xf numFmtId="171" fontId="9" fillId="2" borderId="3" xfId="1" applyNumberFormat="1" applyFont="1" applyFill="1" applyBorder="1" applyAlignment="1">
      <alignment horizontal="center" vertical="center"/>
    </xf>
    <xf numFmtId="171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171" fontId="10" fillId="2" borderId="11" xfId="1" applyNumberFormat="1" applyFont="1" applyFill="1" applyBorder="1" applyAlignment="1">
      <alignment horizontal="right" vertical="center"/>
    </xf>
    <xf numFmtId="14" fontId="9" fillId="3" borderId="18" xfId="2" applyNumberFormat="1" applyFont="1" applyFill="1" applyBorder="1" applyAlignment="1">
      <alignment horizontal="center" vertical="center" wrapText="1"/>
    </xf>
    <xf numFmtId="1" fontId="10" fillId="3" borderId="11" xfId="0" applyNumberFormat="1" applyFont="1" applyFill="1" applyBorder="1" applyAlignment="1">
      <alignment horizontal="center" vertical="center"/>
    </xf>
    <xf numFmtId="3" fontId="10" fillId="3" borderId="11" xfId="0" applyNumberFormat="1" applyFont="1" applyFill="1" applyBorder="1" applyAlignment="1">
      <alignment horizontal="center"/>
    </xf>
    <xf numFmtId="167" fontId="10" fillId="3" borderId="11" xfId="0" applyNumberFormat="1" applyFont="1" applyFill="1" applyBorder="1" applyAlignment="1">
      <alignment horizontal="center" vertical="center"/>
    </xf>
    <xf numFmtId="171" fontId="10" fillId="3" borderId="11" xfId="1" applyNumberFormat="1" applyFont="1" applyFill="1" applyBorder="1" applyAlignment="1">
      <alignment horizontal="center" vertical="center"/>
    </xf>
    <xf numFmtId="168" fontId="37" fillId="3" borderId="11" xfId="1" applyNumberFormat="1" applyFont="1" applyFill="1" applyBorder="1" applyAlignment="1">
      <alignment horizontal="center"/>
    </xf>
    <xf numFmtId="3" fontId="37" fillId="3" borderId="11" xfId="0" applyNumberFormat="1" applyFont="1" applyFill="1" applyBorder="1"/>
    <xf numFmtId="3" fontId="10" fillId="3" borderId="11" xfId="0" applyNumberFormat="1" applyFont="1" applyFill="1" applyBorder="1" applyAlignment="1">
      <alignment horizontal="right"/>
    </xf>
    <xf numFmtId="171" fontId="10" fillId="3" borderId="11" xfId="1" applyNumberFormat="1" applyFont="1" applyFill="1" applyBorder="1" applyAlignment="1">
      <alignment horizontal="center"/>
    </xf>
    <xf numFmtId="3" fontId="10" fillId="3" borderId="16" xfId="0" applyNumberFormat="1" applyFont="1" applyFill="1" applyBorder="1" applyAlignment="1">
      <alignment horizontal="center" vertical="center"/>
    </xf>
    <xf numFmtId="3" fontId="9" fillId="3" borderId="11" xfId="0" applyNumberFormat="1" applyFont="1" applyFill="1" applyBorder="1" applyAlignment="1">
      <alignment horizontal="right"/>
    </xf>
    <xf numFmtId="170" fontId="10" fillId="3" borderId="11" xfId="0" applyNumberFormat="1" applyFont="1" applyFill="1" applyBorder="1" applyAlignment="1">
      <alignment horizontal="center"/>
    </xf>
    <xf numFmtId="3" fontId="38" fillId="3" borderId="11" xfId="0" applyNumberFormat="1" applyFont="1" applyFill="1" applyBorder="1" applyAlignment="1">
      <alignment horizontal="center"/>
    </xf>
    <xf numFmtId="0" fontId="19" fillId="2" borderId="0" xfId="2" applyFont="1" applyFill="1" applyAlignment="1">
      <alignment vertical="center" wrapText="1"/>
    </xf>
    <xf numFmtId="0" fontId="18" fillId="2" borderId="0" xfId="2" applyFont="1" applyFill="1" applyAlignment="1">
      <alignment horizontal="left" vertical="center" wrapText="1"/>
    </xf>
    <xf numFmtId="173" fontId="10" fillId="3" borderId="11" xfId="1" applyNumberFormat="1" applyFont="1" applyFill="1" applyBorder="1" applyAlignment="1">
      <alignment horizontal="center"/>
    </xf>
    <xf numFmtId="14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3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 wrapText="1"/>
    </xf>
    <xf numFmtId="14" fontId="7" fillId="2" borderId="9" xfId="0" applyNumberFormat="1" applyFont="1" applyFill="1" applyBorder="1" applyAlignment="1">
      <alignment horizontal="center" vertical="center" wrapText="1"/>
    </xf>
    <xf numFmtId="14" fontId="7" fillId="2" borderId="10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4" fontId="8" fillId="3" borderId="0" xfId="0" applyNumberFormat="1" applyFont="1" applyFill="1" applyAlignment="1">
      <alignment horizontal="left" vertical="center"/>
    </xf>
    <xf numFmtId="14" fontId="9" fillId="3" borderId="0" xfId="0" applyNumberFormat="1" applyFont="1" applyFill="1" applyAlignment="1">
      <alignment horizontal="left" vertical="center"/>
    </xf>
    <xf numFmtId="0" fontId="27" fillId="2" borderId="5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14" fontId="8" fillId="2" borderId="0" xfId="0" applyNumberFormat="1" applyFont="1" applyFill="1" applyAlignment="1">
      <alignment horizontal="left" vertical="center"/>
    </xf>
    <xf numFmtId="14" fontId="9" fillId="2" borderId="0" xfId="0" applyNumberFormat="1" applyFont="1" applyFill="1" applyAlignment="1">
      <alignment horizontal="left" vertical="center"/>
    </xf>
    <xf numFmtId="0" fontId="19" fillId="0" borderId="0" xfId="2" applyFont="1" applyAlignment="1">
      <alignment horizontal="left" vertical="center" wrapText="1"/>
    </xf>
    <xf numFmtId="0" fontId="16" fillId="2" borderId="0" xfId="0" applyFont="1" applyFill="1" applyAlignment="1">
      <alignment horizontal="center" vertical="center" wrapText="1"/>
    </xf>
    <xf numFmtId="0" fontId="18" fillId="2" borderId="0" xfId="2" applyFont="1" applyFill="1" applyAlignment="1">
      <alignment horizontal="left" vertical="center" wrapText="1"/>
    </xf>
    <xf numFmtId="0" fontId="19" fillId="2" borderId="0" xfId="2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22" fillId="0" borderId="1" xfId="2" applyFont="1" applyBorder="1" applyAlignment="1">
      <alignment horizontal="left" vertical="center" wrapText="1"/>
    </xf>
    <xf numFmtId="0" fontId="22" fillId="0" borderId="0" xfId="2" applyFont="1" applyAlignment="1">
      <alignment horizontal="left" vertical="center" wrapText="1"/>
    </xf>
    <xf numFmtId="0" fontId="23" fillId="0" borderId="3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left" vertical="center" wrapText="1"/>
    </xf>
    <xf numFmtId="172" fontId="23" fillId="0" borderId="0" xfId="1" applyNumberFormat="1" applyFont="1" applyAlignment="1">
      <alignment horizontal="center" vertical="center"/>
    </xf>
    <xf numFmtId="167" fontId="7" fillId="2" borderId="2" xfId="0" applyNumberFormat="1" applyFont="1" applyFill="1" applyBorder="1" applyAlignment="1">
      <alignment horizontal="center" vertical="center" wrapText="1"/>
    </xf>
    <xf numFmtId="167" fontId="7" fillId="2" borderId="10" xfId="0" applyNumberFormat="1" applyFont="1" applyFill="1" applyBorder="1" applyAlignment="1">
      <alignment horizontal="center" vertical="center" wrapText="1"/>
    </xf>
    <xf numFmtId="169" fontId="7" fillId="2" borderId="2" xfId="0" applyNumberFormat="1" applyFont="1" applyFill="1" applyBorder="1" applyAlignment="1">
      <alignment horizontal="center" vertical="center" wrapText="1"/>
    </xf>
    <xf numFmtId="169" fontId="7" fillId="2" borderId="10" xfId="0" applyNumberFormat="1" applyFont="1" applyFill="1" applyBorder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9" fontId="8" fillId="2" borderId="2" xfId="0" applyNumberFormat="1" applyFont="1" applyFill="1" applyBorder="1" applyAlignment="1">
      <alignment horizontal="center" vertical="center" wrapText="1"/>
    </xf>
    <xf numFmtId="169" fontId="8" fillId="2" borderId="10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167" fontId="32" fillId="2" borderId="2" xfId="0" applyNumberFormat="1" applyFont="1" applyFill="1" applyBorder="1" applyAlignment="1">
      <alignment horizontal="center" vertical="center" wrapText="1"/>
    </xf>
    <xf numFmtId="167" fontId="32" fillId="2" borderId="17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14" fontId="8" fillId="2" borderId="2" xfId="0" applyNumberFormat="1" applyFont="1" applyFill="1" applyBorder="1" applyAlignment="1">
      <alignment horizontal="center" vertical="center" wrapText="1"/>
    </xf>
    <xf numFmtId="14" fontId="8" fillId="2" borderId="10" xfId="0" applyNumberFormat="1" applyFont="1" applyFill="1" applyBorder="1" applyAlignment="1">
      <alignment horizontal="center" vertical="center" wrapText="1"/>
    </xf>
    <xf numFmtId="14" fontId="16" fillId="2" borderId="0" xfId="0" applyNumberFormat="1" applyFont="1" applyFill="1" applyAlignment="1">
      <alignment horizontal="left" vertical="center"/>
    </xf>
  </cellXfs>
  <cellStyles count="7">
    <cellStyle name="Comma" xfId="1" builtinId="3"/>
    <cellStyle name="Comma 7" xfId="3" xr:uid="{00000000-0005-0000-0000-000001000000}"/>
    <cellStyle name="Comma 7 2" xfId="4" xr:uid="{00000000-0005-0000-0000-000002000000}"/>
    <cellStyle name="Comma 7 3" xfId="5" xr:uid="{00000000-0005-0000-0000-000003000000}"/>
    <cellStyle name="Normal" xfId="0" builtinId="0"/>
    <cellStyle name="Normal 28" xfId="6" xr:uid="{00000000-0005-0000-0000-000005000000}"/>
    <cellStyle name="Normal 3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12</xdr:row>
      <xdr:rowOff>0</xdr:rowOff>
    </xdr:from>
    <xdr:to>
      <xdr:col>37</xdr:col>
      <xdr:colOff>74859</xdr:colOff>
      <xdr:row>41</xdr:row>
      <xdr:rowOff>36479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02475" y="3895725"/>
          <a:ext cx="6266109" cy="83232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459440</xdr:colOff>
      <xdr:row>9</xdr:row>
      <xdr:rowOff>246530</xdr:rowOff>
    </xdr:from>
    <xdr:to>
      <xdr:col>38</xdr:col>
      <xdr:colOff>438249</xdr:colOff>
      <xdr:row>39</xdr:row>
      <xdr:rowOff>146137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85890" y="3285005"/>
          <a:ext cx="6266109" cy="83327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459440</xdr:colOff>
      <xdr:row>9</xdr:row>
      <xdr:rowOff>246530</xdr:rowOff>
    </xdr:from>
    <xdr:to>
      <xdr:col>38</xdr:col>
      <xdr:colOff>534300</xdr:colOff>
      <xdr:row>38</xdr:row>
      <xdr:rowOff>283009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76315" y="3285005"/>
          <a:ext cx="6266110" cy="83327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459440</xdr:colOff>
      <xdr:row>9</xdr:row>
      <xdr:rowOff>246530</xdr:rowOff>
    </xdr:from>
    <xdr:to>
      <xdr:col>38</xdr:col>
      <xdr:colOff>438249</xdr:colOff>
      <xdr:row>39</xdr:row>
      <xdr:rowOff>146137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19340" y="3285005"/>
          <a:ext cx="6170059" cy="84816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804567</xdr:colOff>
      <xdr:row>3</xdr:row>
      <xdr:rowOff>81642</xdr:rowOff>
    </xdr:from>
    <xdr:to>
      <xdr:col>37</xdr:col>
      <xdr:colOff>529571</xdr:colOff>
      <xdr:row>22</xdr:row>
      <xdr:rowOff>163446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E33FFA-2BF1-463B-A9EF-18F8DD80E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8067" y="993321"/>
          <a:ext cx="6283647" cy="8551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honeticPr fontId="3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B49"/>
  <sheetViews>
    <sheetView zoomScale="115" zoomScaleNormal="115" workbookViewId="0">
      <pane ySplit="10" topLeftCell="A38" activePane="bottomLeft" state="frozen"/>
      <selection pane="bottomLeft" activeCell="Q15" sqref="Q15"/>
    </sheetView>
  </sheetViews>
  <sheetFormatPr defaultColWidth="9.28515625" defaultRowHeight="15"/>
  <cols>
    <col min="1" max="1" width="9.7109375" style="36" customWidth="1"/>
    <col min="2" max="2" width="5.140625" style="36" customWidth="1"/>
    <col min="3" max="3" width="5.28515625" style="36" customWidth="1"/>
    <col min="4" max="4" width="5.28515625" style="34" customWidth="1"/>
    <col min="5" max="5" width="5.7109375" style="34" customWidth="1"/>
    <col min="6" max="6" width="10.7109375" style="34" customWidth="1"/>
    <col min="7" max="7" width="7" style="34" customWidth="1"/>
    <col min="8" max="8" width="7.140625" style="34" customWidth="1"/>
    <col min="9" max="9" width="11.140625" style="34" customWidth="1"/>
    <col min="10" max="10" width="5.28515625" style="34" customWidth="1"/>
    <col min="11" max="11" width="4.85546875" style="34" customWidth="1"/>
    <col min="12" max="13" width="3.28515625" style="34" hidden="1" customWidth="1"/>
    <col min="14" max="14" width="6.28515625" style="34" customWidth="1"/>
    <col min="15" max="15" width="5.85546875" style="35" customWidth="1"/>
    <col min="16" max="16" width="9.85546875" style="34" customWidth="1"/>
    <col min="17" max="17" width="6.28515625" style="34" customWidth="1"/>
    <col min="18" max="18" width="5.7109375" style="34" customWidth="1"/>
    <col min="19" max="19" width="7.28515625" style="34" customWidth="1"/>
    <col min="20" max="20" width="5.85546875" style="34" customWidth="1"/>
    <col min="21" max="21" width="7.7109375" style="34" customWidth="1"/>
    <col min="22" max="22" width="7.28515625" style="34" customWidth="1"/>
    <col min="23" max="23" width="5.28515625" style="63" customWidth="1"/>
    <col min="24" max="24" width="9" style="34" customWidth="1"/>
    <col min="25" max="25" width="9.28515625" style="34" customWidth="1"/>
    <col min="26" max="26" width="11.28515625" style="34" customWidth="1"/>
    <col min="27" max="27" width="14.140625" style="34" bestFit="1" customWidth="1"/>
    <col min="28" max="16384" width="9.28515625" style="34"/>
  </cols>
  <sheetData>
    <row r="1" spans="1:28" s="33" customFormat="1" ht="15.75">
      <c r="A1" s="322" t="s">
        <v>29</v>
      </c>
      <c r="B1" s="323"/>
      <c r="C1" s="323"/>
      <c r="D1" s="323"/>
      <c r="E1" s="323"/>
      <c r="F1" s="323"/>
      <c r="G1" s="323"/>
      <c r="H1" s="323"/>
      <c r="I1" s="323"/>
      <c r="J1" s="323"/>
      <c r="O1" s="32"/>
      <c r="P1" s="316" t="s">
        <v>0</v>
      </c>
      <c r="Q1" s="316"/>
      <c r="R1" s="316"/>
      <c r="S1" s="316"/>
      <c r="T1" s="316"/>
      <c r="U1" s="316"/>
      <c r="V1" s="316"/>
      <c r="W1" s="316"/>
      <c r="X1" s="316"/>
      <c r="Y1" s="316"/>
      <c r="Z1" s="316"/>
    </row>
    <row r="2" spans="1:28" s="33" customFormat="1" ht="15.75">
      <c r="A2" s="75" t="s">
        <v>30</v>
      </c>
      <c r="B2" s="75"/>
      <c r="C2" s="75"/>
      <c r="D2" s="76"/>
      <c r="E2" s="75"/>
      <c r="F2" s="75"/>
      <c r="G2" s="75"/>
      <c r="H2" s="75"/>
      <c r="I2" s="75"/>
      <c r="J2" s="75"/>
      <c r="K2" s="34"/>
      <c r="L2" s="34"/>
      <c r="M2" s="34"/>
      <c r="N2" s="34"/>
      <c r="O2" s="35"/>
      <c r="P2" s="316" t="s">
        <v>1</v>
      </c>
      <c r="Q2" s="316"/>
      <c r="R2" s="316"/>
      <c r="S2" s="316"/>
      <c r="T2" s="316"/>
      <c r="U2" s="316"/>
      <c r="V2" s="316"/>
      <c r="W2" s="316"/>
      <c r="X2" s="316"/>
      <c r="Y2" s="316"/>
      <c r="Z2" s="316"/>
    </row>
    <row r="3" spans="1:28" s="33" customFormat="1" ht="29.25" customHeight="1">
      <c r="A3" s="321" t="s">
        <v>3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</row>
    <row r="4" spans="1:28" s="33" customFormat="1" ht="32.25" customHeight="1">
      <c r="A4" s="321" t="s">
        <v>34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316"/>
    </row>
    <row r="5" spans="1:28" s="33" customFormat="1" ht="15.75">
      <c r="A5" s="315" t="s">
        <v>33</v>
      </c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  <c r="W5" s="315"/>
      <c r="X5" s="315"/>
      <c r="Y5" s="315"/>
      <c r="Z5" s="315"/>
    </row>
    <row r="6" spans="1:28" s="33" customFormat="1" ht="15.75">
      <c r="A6" s="316" t="s">
        <v>31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  <c r="Y6" s="316"/>
      <c r="Z6" s="316"/>
    </row>
    <row r="7" spans="1:28" ht="12" hidden="1" customHeight="1">
      <c r="V7" s="317" t="s">
        <v>2</v>
      </c>
      <c r="W7" s="317"/>
      <c r="X7" s="317"/>
      <c r="Y7" s="317"/>
      <c r="Z7" s="317"/>
    </row>
    <row r="8" spans="1:28" s="37" customFormat="1" ht="50.25" customHeight="1">
      <c r="A8" s="318" t="s">
        <v>4</v>
      </c>
      <c r="B8" s="318" t="s">
        <v>27</v>
      </c>
      <c r="C8" s="318" t="s">
        <v>28</v>
      </c>
      <c r="D8" s="307" t="s">
        <v>5</v>
      </c>
      <c r="E8" s="312" t="s">
        <v>6</v>
      </c>
      <c r="F8" s="312"/>
      <c r="G8" s="312" t="s">
        <v>7</v>
      </c>
      <c r="H8" s="312"/>
      <c r="I8" s="312"/>
      <c r="J8" s="307" t="s">
        <v>13</v>
      </c>
      <c r="K8" s="307" t="s">
        <v>14</v>
      </c>
      <c r="L8" s="68"/>
      <c r="M8" s="68"/>
      <c r="N8" s="309" t="s">
        <v>15</v>
      </c>
      <c r="O8" s="310"/>
      <c r="P8" s="311"/>
      <c r="Q8" s="307" t="s">
        <v>18</v>
      </c>
      <c r="R8" s="312" t="s">
        <v>19</v>
      </c>
      <c r="S8" s="312"/>
      <c r="T8" s="309" t="s">
        <v>22</v>
      </c>
      <c r="U8" s="310"/>
      <c r="V8" s="311"/>
      <c r="W8" s="313" t="s">
        <v>23</v>
      </c>
      <c r="X8" s="314"/>
      <c r="Y8" s="307" t="s">
        <v>25</v>
      </c>
      <c r="Z8" s="307" t="s">
        <v>26</v>
      </c>
    </row>
    <row r="9" spans="1:28" s="37" customFormat="1" ht="64.5" customHeight="1">
      <c r="A9" s="319"/>
      <c r="B9" s="320"/>
      <c r="C9" s="320"/>
      <c r="D9" s="308"/>
      <c r="E9" s="67" t="s">
        <v>8</v>
      </c>
      <c r="F9" s="67" t="s">
        <v>9</v>
      </c>
      <c r="G9" s="67" t="s">
        <v>10</v>
      </c>
      <c r="H9" s="67" t="s">
        <v>11</v>
      </c>
      <c r="I9" s="67" t="s">
        <v>12</v>
      </c>
      <c r="J9" s="308"/>
      <c r="K9" s="308"/>
      <c r="L9" s="66"/>
      <c r="M9" s="66"/>
      <c r="N9" s="67" t="s">
        <v>16</v>
      </c>
      <c r="O9" s="67" t="s">
        <v>11</v>
      </c>
      <c r="P9" s="67" t="s">
        <v>17</v>
      </c>
      <c r="Q9" s="308"/>
      <c r="R9" s="66" t="s">
        <v>20</v>
      </c>
      <c r="S9" s="66" t="s">
        <v>21</v>
      </c>
      <c r="T9" s="67" t="s">
        <v>16</v>
      </c>
      <c r="U9" s="67" t="s">
        <v>11</v>
      </c>
      <c r="V9" s="67" t="s">
        <v>12</v>
      </c>
      <c r="W9" s="38" t="s">
        <v>24</v>
      </c>
      <c r="X9" s="67" t="s">
        <v>12</v>
      </c>
      <c r="Y9" s="308"/>
      <c r="Z9" s="308"/>
    </row>
    <row r="10" spans="1:28" s="37" customFormat="1" ht="12.75" customHeight="1">
      <c r="A10" s="39"/>
      <c r="B10" s="39"/>
      <c r="C10" s="39"/>
      <c r="D10" s="40"/>
      <c r="E10" s="41">
        <v>3000</v>
      </c>
      <c r="F10" s="41">
        <v>22000000</v>
      </c>
      <c r="G10" s="41">
        <v>0</v>
      </c>
      <c r="H10" s="41">
        <v>5000</v>
      </c>
      <c r="I10" s="41">
        <f>G10*H10</f>
        <v>0</v>
      </c>
      <c r="J10" s="40"/>
      <c r="K10" s="41"/>
      <c r="L10" s="41"/>
      <c r="M10" s="41"/>
      <c r="N10" s="40"/>
      <c r="O10" s="42"/>
      <c r="P10" s="41"/>
      <c r="Q10" s="41">
        <v>0</v>
      </c>
      <c r="R10" s="41"/>
      <c r="S10" s="41"/>
      <c r="T10" s="40"/>
      <c r="U10" s="41">
        <v>0</v>
      </c>
      <c r="V10" s="41">
        <f>T10*U10</f>
        <v>0</v>
      </c>
      <c r="W10" s="43"/>
      <c r="X10" s="41"/>
      <c r="Y10" s="41"/>
      <c r="Z10" s="44">
        <f>F10+I10+P10+Q10+S10+V10+X10+Y10</f>
        <v>22000000</v>
      </c>
    </row>
    <row r="11" spans="1:28" s="15" customFormat="1" ht="18" customHeight="1">
      <c r="A11" s="17">
        <v>44166</v>
      </c>
      <c r="B11" s="18">
        <v>81098</v>
      </c>
      <c r="C11" s="18">
        <v>81117</v>
      </c>
      <c r="D11" s="19">
        <f>C11-B11</f>
        <v>19</v>
      </c>
      <c r="E11" s="20"/>
      <c r="F11" s="20"/>
      <c r="G11" s="20"/>
      <c r="H11" s="20"/>
      <c r="I11" s="20"/>
      <c r="J11" s="21">
        <v>0.30555555555555552</v>
      </c>
      <c r="K11" s="21">
        <v>0.85416666666666663</v>
      </c>
      <c r="L11" s="22">
        <f t="shared" ref="L11" si="0">IF(("7:00"-J11)&lt;=0,0,("7:00"-J11))</f>
        <v>0</v>
      </c>
      <c r="M11" s="22">
        <f t="shared" ref="M11" si="1">IF((K11-"18:00")&lt;=0,0,(K11-"18:00"))</f>
        <v>0.10416666666666663</v>
      </c>
      <c r="N11" s="23">
        <v>1</v>
      </c>
      <c r="O11" s="24">
        <v>100000</v>
      </c>
      <c r="P11" s="25">
        <f>N11*O11</f>
        <v>100000</v>
      </c>
      <c r="Q11" s="20"/>
      <c r="R11" s="20"/>
      <c r="S11" s="20"/>
      <c r="T11" s="26"/>
      <c r="U11" s="20"/>
      <c r="V11" s="20"/>
      <c r="W11" s="27"/>
      <c r="X11" s="25">
        <f>W11*50000</f>
        <v>0</v>
      </c>
      <c r="Y11" s="25"/>
      <c r="Z11" s="28">
        <f>SUM(I11+P11+Q11+S11+V11+X11+Y11)</f>
        <v>100000</v>
      </c>
      <c r="AB11" s="16"/>
    </row>
    <row r="12" spans="1:28" s="1" customFormat="1" ht="18" customHeight="1">
      <c r="A12" s="17">
        <v>44167</v>
      </c>
      <c r="B12" s="18">
        <v>81117</v>
      </c>
      <c r="C12" s="18">
        <v>81146</v>
      </c>
      <c r="D12" s="19">
        <f>C12-B12</f>
        <v>29</v>
      </c>
      <c r="E12" s="20"/>
      <c r="F12" s="20"/>
      <c r="G12" s="20"/>
      <c r="H12" s="20"/>
      <c r="I12" s="20"/>
      <c r="J12" s="21">
        <v>0.30555555555555552</v>
      </c>
      <c r="K12" s="21">
        <v>0.85416666666666663</v>
      </c>
      <c r="L12" s="22">
        <f t="shared" ref="L12" si="2">IF(("7:00"-J12)&lt;=0,0,("7:00"-J12))</f>
        <v>0</v>
      </c>
      <c r="M12" s="22">
        <f t="shared" ref="M12" si="3">IF((K12-"18:00")&lt;=0,0,(K12-"18:00"))</f>
        <v>0.10416666666666663</v>
      </c>
      <c r="N12" s="23">
        <v>1</v>
      </c>
      <c r="O12" s="24">
        <v>100000</v>
      </c>
      <c r="P12" s="25">
        <f>N12*O12</f>
        <v>100000</v>
      </c>
      <c r="Q12" s="20"/>
      <c r="R12" s="20"/>
      <c r="S12" s="20"/>
      <c r="T12" s="26"/>
      <c r="U12" s="20"/>
      <c r="V12" s="20"/>
      <c r="W12" s="27"/>
      <c r="X12" s="25">
        <f>W12*50000</f>
        <v>0</v>
      </c>
      <c r="Y12" s="25"/>
      <c r="Z12" s="28">
        <f>SUM(I12+P12+Q12+S12+V12+X12+Y12)</f>
        <v>100000</v>
      </c>
      <c r="AB12" s="2"/>
    </row>
    <row r="13" spans="1:28" s="1" customFormat="1" ht="18" customHeight="1">
      <c r="A13" s="17">
        <v>44168</v>
      </c>
      <c r="B13" s="18">
        <v>81146</v>
      </c>
      <c r="C13" s="18">
        <v>81164</v>
      </c>
      <c r="D13" s="19">
        <f>C13-B13</f>
        <v>18</v>
      </c>
      <c r="E13" s="20"/>
      <c r="F13" s="20"/>
      <c r="G13" s="20"/>
      <c r="H13" s="20"/>
      <c r="I13" s="20"/>
      <c r="J13" s="21">
        <v>0.30555555555555552</v>
      </c>
      <c r="K13" s="21">
        <v>0.85416666666666663</v>
      </c>
      <c r="L13" s="22">
        <f t="shared" ref="L13" si="4">IF(("7:00"-J13)&lt;=0,0,("7:00"-J13))</f>
        <v>0</v>
      </c>
      <c r="M13" s="22">
        <f t="shared" ref="M13" si="5">IF((K13-"18:00")&lt;=0,0,(K13-"18:00"))</f>
        <v>0.10416666666666663</v>
      </c>
      <c r="N13" s="23">
        <v>1</v>
      </c>
      <c r="O13" s="24">
        <v>100000</v>
      </c>
      <c r="P13" s="25">
        <f t="shared" ref="P13:P14" si="6">N13*O13</f>
        <v>100000</v>
      </c>
      <c r="Q13" s="20"/>
      <c r="R13" s="20"/>
      <c r="S13" s="20"/>
      <c r="T13" s="26"/>
      <c r="U13" s="20"/>
      <c r="V13" s="20"/>
      <c r="W13" s="27"/>
      <c r="X13" s="25">
        <f t="shared" ref="X13:X18" si="7">W13*50000</f>
        <v>0</v>
      </c>
      <c r="Y13" s="25"/>
      <c r="Z13" s="28">
        <f t="shared" ref="Z13:Z41" si="8">SUM(I13+P13+Q13+S13+V13+X13+Y13)</f>
        <v>100000</v>
      </c>
      <c r="AB13" s="2"/>
    </row>
    <row r="14" spans="1:28" s="1" customFormat="1" ht="18" customHeight="1">
      <c r="A14" s="17">
        <v>44169</v>
      </c>
      <c r="B14" s="18">
        <v>81164</v>
      </c>
      <c r="C14" s="18">
        <v>81192</v>
      </c>
      <c r="D14" s="19">
        <f>C14-B14</f>
        <v>28</v>
      </c>
      <c r="E14" s="20"/>
      <c r="F14" s="20"/>
      <c r="G14" s="20"/>
      <c r="H14" s="20"/>
      <c r="I14" s="20"/>
      <c r="J14" s="21">
        <v>0.3125</v>
      </c>
      <c r="K14" s="21">
        <v>0.85416666666666663</v>
      </c>
      <c r="L14" s="22">
        <f t="shared" ref="L14" si="9">IF(("7:00"-J14)&lt;=0,0,("7:00"-J14))</f>
        <v>0</v>
      </c>
      <c r="M14" s="22">
        <f t="shared" ref="M14" si="10">IF((K14-"18:00")&lt;=0,0,(K14-"18:00"))</f>
        <v>0.10416666666666663</v>
      </c>
      <c r="N14" s="23">
        <v>1</v>
      </c>
      <c r="O14" s="24">
        <v>100000</v>
      </c>
      <c r="P14" s="25">
        <f t="shared" si="6"/>
        <v>100000</v>
      </c>
      <c r="Q14" s="20"/>
      <c r="R14" s="20"/>
      <c r="S14" s="20"/>
      <c r="T14" s="29"/>
      <c r="U14" s="20"/>
      <c r="V14" s="20"/>
      <c r="W14" s="27"/>
      <c r="X14" s="25">
        <f t="shared" si="7"/>
        <v>0</v>
      </c>
      <c r="Y14" s="25"/>
      <c r="Z14" s="28">
        <f t="shared" si="8"/>
        <v>100000</v>
      </c>
      <c r="AB14" s="2"/>
    </row>
    <row r="15" spans="1:28" s="1" customFormat="1" ht="18" customHeight="1">
      <c r="A15" s="17">
        <v>44170</v>
      </c>
      <c r="B15" s="18">
        <v>81192</v>
      </c>
      <c r="C15" s="18">
        <v>81263</v>
      </c>
      <c r="D15" s="19">
        <f>C15-B15</f>
        <v>71</v>
      </c>
      <c r="E15" s="20"/>
      <c r="F15" s="20"/>
      <c r="G15" s="20"/>
      <c r="H15" s="20"/>
      <c r="I15" s="20"/>
      <c r="J15" s="21">
        <v>0.3125</v>
      </c>
      <c r="K15" s="72">
        <v>0.95833333333333337</v>
      </c>
      <c r="L15" s="22">
        <f t="shared" ref="L15:L17" si="11">IF(("7:00"-J15)&lt;=0,0,("7:00"-J15))</f>
        <v>0</v>
      </c>
      <c r="M15" s="22">
        <f t="shared" ref="M15:M17" si="12">IF((K15-"18:00")&lt;=0,0,(K15-"18:00"))</f>
        <v>0.20833333333333337</v>
      </c>
      <c r="N15" s="71">
        <v>1</v>
      </c>
      <c r="O15" s="24">
        <v>140000</v>
      </c>
      <c r="P15" s="25">
        <f>N15*O15</f>
        <v>140000</v>
      </c>
      <c r="Q15" s="20"/>
      <c r="R15" s="20"/>
      <c r="S15" s="20"/>
      <c r="T15" s="26"/>
      <c r="U15" s="20"/>
      <c r="V15" s="20"/>
      <c r="W15" s="27"/>
      <c r="X15" s="25">
        <f t="shared" si="7"/>
        <v>0</v>
      </c>
      <c r="Y15" s="25"/>
      <c r="Z15" s="28">
        <f>SUM(I15+P15+Q15+S15+V15+X15+Y15)</f>
        <v>140000</v>
      </c>
      <c r="AB15" s="2"/>
    </row>
    <row r="16" spans="1:28" s="15" customFormat="1" ht="18" customHeight="1">
      <c r="A16" s="3">
        <v>44171</v>
      </c>
      <c r="B16" s="4">
        <v>0</v>
      </c>
      <c r="C16" s="4">
        <v>0</v>
      </c>
      <c r="D16" s="5">
        <f t="shared" ref="D16:D18" si="13">C16-B16</f>
        <v>0</v>
      </c>
      <c r="E16" s="6"/>
      <c r="F16" s="6"/>
      <c r="G16" s="6"/>
      <c r="H16" s="6"/>
      <c r="I16" s="6"/>
      <c r="J16" s="7">
        <v>0.3125</v>
      </c>
      <c r="K16" s="7">
        <v>0.77083333333333337</v>
      </c>
      <c r="L16" s="8">
        <f t="shared" si="11"/>
        <v>0</v>
      </c>
      <c r="M16" s="8">
        <f t="shared" si="12"/>
        <v>2.083333333333337E-2</v>
      </c>
      <c r="N16" s="9">
        <v>0</v>
      </c>
      <c r="O16" s="10">
        <v>100000</v>
      </c>
      <c r="P16" s="11">
        <f>N16*O16</f>
        <v>0</v>
      </c>
      <c r="Q16" s="6"/>
      <c r="R16" s="6"/>
      <c r="S16" s="6"/>
      <c r="T16" s="64"/>
      <c r="U16" s="6"/>
      <c r="V16" s="6"/>
      <c r="W16" s="13"/>
      <c r="X16" s="11">
        <f t="shared" si="7"/>
        <v>0</v>
      </c>
      <c r="Y16" s="11"/>
      <c r="Z16" s="14">
        <f t="shared" si="8"/>
        <v>0</v>
      </c>
      <c r="AB16" s="16"/>
    </row>
    <row r="17" spans="1:28" s="1" customFormat="1" ht="18" customHeight="1">
      <c r="A17" s="17">
        <v>44172</v>
      </c>
      <c r="B17" s="18">
        <v>81286</v>
      </c>
      <c r="C17" s="18">
        <v>81304</v>
      </c>
      <c r="D17" s="19">
        <f t="shared" si="13"/>
        <v>18</v>
      </c>
      <c r="E17" s="20"/>
      <c r="F17" s="20"/>
      <c r="G17" s="20"/>
      <c r="H17" s="20"/>
      <c r="I17" s="20"/>
      <c r="J17" s="21">
        <v>0.3125</v>
      </c>
      <c r="K17" s="21">
        <v>0.85416666666666663</v>
      </c>
      <c r="L17" s="22">
        <f t="shared" si="11"/>
        <v>0</v>
      </c>
      <c r="M17" s="22">
        <f t="shared" si="12"/>
        <v>0.10416666666666663</v>
      </c>
      <c r="N17" s="23">
        <v>1</v>
      </c>
      <c r="O17" s="24">
        <v>100000</v>
      </c>
      <c r="P17" s="25">
        <f t="shared" ref="P17:P18" si="14">N17*O17</f>
        <v>100000</v>
      </c>
      <c r="Q17" s="20"/>
      <c r="R17" s="20"/>
      <c r="S17" s="20"/>
      <c r="T17" s="26"/>
      <c r="U17" s="20"/>
      <c r="V17" s="20"/>
      <c r="W17" s="27"/>
      <c r="X17" s="25">
        <f>W17*50000</f>
        <v>0</v>
      </c>
      <c r="Y17" s="25"/>
      <c r="Z17" s="28">
        <f t="shared" si="8"/>
        <v>100000</v>
      </c>
      <c r="AB17" s="2"/>
    </row>
    <row r="18" spans="1:28" s="15" customFormat="1" ht="18" customHeight="1">
      <c r="A18" s="17">
        <v>44173</v>
      </c>
      <c r="B18" s="18">
        <v>81304</v>
      </c>
      <c r="C18" s="18">
        <v>81355</v>
      </c>
      <c r="D18" s="19">
        <f t="shared" si="13"/>
        <v>51</v>
      </c>
      <c r="E18" s="20"/>
      <c r="F18" s="20"/>
      <c r="G18" s="20"/>
      <c r="H18" s="20"/>
      <c r="I18" s="20"/>
      <c r="J18" s="21">
        <v>0.3125</v>
      </c>
      <c r="K18" s="21">
        <v>0.85416666666666663</v>
      </c>
      <c r="L18" s="22">
        <f t="shared" ref="L18" si="15">IF(("7:00"-J18)&lt;=0,0,("7:00"-J18))</f>
        <v>0</v>
      </c>
      <c r="M18" s="22">
        <f t="shared" ref="M18" si="16">IF((K18-"18:00")&lt;=0,0,(K18-"18:00"))</f>
        <v>0.10416666666666663</v>
      </c>
      <c r="N18" s="23">
        <v>1</v>
      </c>
      <c r="O18" s="24">
        <v>100000</v>
      </c>
      <c r="P18" s="25">
        <f t="shared" si="14"/>
        <v>100000</v>
      </c>
      <c r="Q18" s="20"/>
      <c r="R18" s="20"/>
      <c r="S18" s="20"/>
      <c r="T18" s="29"/>
      <c r="U18" s="20"/>
      <c r="V18" s="20"/>
      <c r="W18" s="27"/>
      <c r="X18" s="25">
        <f t="shared" si="7"/>
        <v>0</v>
      </c>
      <c r="Y18" s="25"/>
      <c r="Z18" s="28">
        <f t="shared" si="8"/>
        <v>100000</v>
      </c>
      <c r="AB18" s="16"/>
    </row>
    <row r="19" spans="1:28" s="1" customFormat="1" ht="18" customHeight="1">
      <c r="A19" s="17">
        <v>44174</v>
      </c>
      <c r="B19" s="18">
        <v>81355</v>
      </c>
      <c r="C19" s="18">
        <v>81760</v>
      </c>
      <c r="D19" s="19">
        <f t="shared" ref="D19:D44" si="17">C19-B19</f>
        <v>405</v>
      </c>
      <c r="E19" s="20"/>
      <c r="F19" s="20"/>
      <c r="G19" s="20"/>
      <c r="H19" s="20"/>
      <c r="I19" s="20"/>
      <c r="J19" s="21">
        <v>0.3125</v>
      </c>
      <c r="K19" s="21">
        <v>0.91666666666666663</v>
      </c>
      <c r="L19" s="22">
        <f t="shared" ref="L19" si="18">IF(("7:00"-J19)&lt;=0,0,("7:00"-J19))</f>
        <v>0</v>
      </c>
      <c r="M19" s="22">
        <f t="shared" ref="M19" si="19">IF((K19-"18:00")&lt;=0,0,(K19-"18:00"))</f>
        <v>0.16666666666666663</v>
      </c>
      <c r="N19" s="23">
        <v>1</v>
      </c>
      <c r="O19" s="24">
        <v>100000</v>
      </c>
      <c r="P19" s="25">
        <f t="shared" ref="P19:P44" si="20">N19*O19</f>
        <v>100000</v>
      </c>
      <c r="Q19" s="20"/>
      <c r="R19" s="20"/>
      <c r="S19" s="20"/>
      <c r="T19" s="29"/>
      <c r="U19" s="20"/>
      <c r="V19" s="20"/>
      <c r="W19" s="27">
        <v>1</v>
      </c>
      <c r="X19" s="25">
        <f>W19*50000</f>
        <v>50000</v>
      </c>
      <c r="Y19" s="25">
        <v>270000</v>
      </c>
      <c r="Z19" s="28">
        <f t="shared" si="8"/>
        <v>420000</v>
      </c>
      <c r="AB19" s="2"/>
    </row>
    <row r="20" spans="1:28" s="1" customFormat="1" ht="18" customHeight="1">
      <c r="A20" s="17">
        <v>44175</v>
      </c>
      <c r="B20" s="18">
        <v>81760</v>
      </c>
      <c r="C20" s="18">
        <v>81780</v>
      </c>
      <c r="D20" s="19">
        <f t="shared" si="17"/>
        <v>20</v>
      </c>
      <c r="E20" s="20"/>
      <c r="F20" s="20"/>
      <c r="G20" s="20"/>
      <c r="H20" s="20"/>
      <c r="I20" s="20"/>
      <c r="J20" s="21">
        <v>0.3125</v>
      </c>
      <c r="K20" s="21">
        <v>0.875</v>
      </c>
      <c r="L20" s="22">
        <f t="shared" ref="L20" si="21">IF(("7:00"-J20)&lt;=0,0,("7:00"-J20))</f>
        <v>0</v>
      </c>
      <c r="M20" s="22">
        <f t="shared" ref="M20" si="22">IF((K20-"18:00")&lt;=0,0,(K20-"18:00"))</f>
        <v>0.125</v>
      </c>
      <c r="N20" s="23">
        <v>1</v>
      </c>
      <c r="O20" s="24">
        <v>100000</v>
      </c>
      <c r="P20" s="25">
        <f t="shared" si="20"/>
        <v>100000</v>
      </c>
      <c r="Q20" s="20"/>
      <c r="R20" s="20"/>
      <c r="S20" s="20"/>
      <c r="T20" s="29"/>
      <c r="U20" s="20"/>
      <c r="V20" s="20"/>
      <c r="W20" s="27"/>
      <c r="X20" s="25">
        <f t="shared" ref="X20:X22" si="23">W20*50000</f>
        <v>0</v>
      </c>
      <c r="Y20" s="25"/>
      <c r="Z20" s="28">
        <f t="shared" si="8"/>
        <v>100000</v>
      </c>
      <c r="AB20" s="2"/>
    </row>
    <row r="21" spans="1:28" s="1" customFormat="1" ht="18" customHeight="1">
      <c r="A21" s="17">
        <v>44176</v>
      </c>
      <c r="B21" s="18">
        <v>81780</v>
      </c>
      <c r="C21" s="18">
        <v>81868</v>
      </c>
      <c r="D21" s="19">
        <f t="shared" si="17"/>
        <v>88</v>
      </c>
      <c r="E21" s="20"/>
      <c r="F21" s="20"/>
      <c r="G21" s="20"/>
      <c r="H21" s="20"/>
      <c r="I21" s="20"/>
      <c r="J21" s="21">
        <v>0.3125</v>
      </c>
      <c r="K21" s="21">
        <v>0.85416666666666663</v>
      </c>
      <c r="L21" s="22">
        <f t="shared" ref="L21" si="24">IF(("7:00"-J21)&lt;=0,0,("7:00"-J21))</f>
        <v>0</v>
      </c>
      <c r="M21" s="22">
        <f t="shared" ref="M21" si="25">IF((K21-"18:00")&lt;=0,0,(K21-"18:00"))</f>
        <v>0.10416666666666663</v>
      </c>
      <c r="N21" s="23">
        <v>1</v>
      </c>
      <c r="O21" s="24">
        <v>100000</v>
      </c>
      <c r="P21" s="25">
        <f t="shared" si="20"/>
        <v>100000</v>
      </c>
      <c r="Q21" s="20"/>
      <c r="R21" s="20"/>
      <c r="S21" s="20"/>
      <c r="T21" s="26"/>
      <c r="U21" s="20"/>
      <c r="V21" s="20"/>
      <c r="W21" s="27"/>
      <c r="X21" s="25">
        <f t="shared" si="23"/>
        <v>0</v>
      </c>
      <c r="Y21" s="25"/>
      <c r="Z21" s="28">
        <f t="shared" si="8"/>
        <v>100000</v>
      </c>
      <c r="AB21" s="2"/>
    </row>
    <row r="22" spans="1:28" s="1" customFormat="1" ht="18" customHeight="1">
      <c r="A22" s="17">
        <v>44177</v>
      </c>
      <c r="B22" s="18">
        <v>81868</v>
      </c>
      <c r="C22" s="18">
        <v>82056</v>
      </c>
      <c r="D22" s="19">
        <f t="shared" si="17"/>
        <v>188</v>
      </c>
      <c r="E22" s="20"/>
      <c r="F22" s="20"/>
      <c r="G22" s="20"/>
      <c r="H22" s="20"/>
      <c r="I22" s="20"/>
      <c r="J22" s="21">
        <v>0.3125</v>
      </c>
      <c r="K22" s="21">
        <v>0.77083333333333337</v>
      </c>
      <c r="L22" s="22">
        <f t="shared" ref="L22" si="26">IF(("7:00"-J22)&lt;=0,0,("7:00"-J22))</f>
        <v>0</v>
      </c>
      <c r="M22" s="22">
        <f t="shared" ref="M22" si="27">IF((K22-"18:00")&lt;=0,0,(K22-"18:00"))</f>
        <v>2.083333333333337E-2</v>
      </c>
      <c r="N22" s="23">
        <v>0</v>
      </c>
      <c r="O22" s="24">
        <v>100000</v>
      </c>
      <c r="P22" s="25">
        <f t="shared" si="20"/>
        <v>0</v>
      </c>
      <c r="Q22" s="20"/>
      <c r="R22" s="20"/>
      <c r="S22" s="20"/>
      <c r="T22" s="26"/>
      <c r="U22" s="20"/>
      <c r="V22" s="20"/>
      <c r="W22" s="27"/>
      <c r="X22" s="25">
        <f t="shared" si="23"/>
        <v>0</v>
      </c>
      <c r="Y22" s="25"/>
      <c r="Z22" s="28">
        <f t="shared" si="8"/>
        <v>0</v>
      </c>
      <c r="AB22" s="2"/>
    </row>
    <row r="23" spans="1:28" s="15" customFormat="1" ht="18" customHeight="1">
      <c r="A23" s="3">
        <v>44178</v>
      </c>
      <c r="B23" s="4">
        <v>0</v>
      </c>
      <c r="C23" s="4">
        <v>0</v>
      </c>
      <c r="D23" s="5">
        <f t="shared" ref="D23" si="28">C23-B23</f>
        <v>0</v>
      </c>
      <c r="E23" s="6"/>
      <c r="F23" s="6"/>
      <c r="G23" s="6"/>
      <c r="H23" s="6"/>
      <c r="I23" s="6"/>
      <c r="J23" s="7">
        <v>0.3125</v>
      </c>
      <c r="K23" s="7">
        <v>0.77083333333333337</v>
      </c>
      <c r="L23" s="8">
        <f t="shared" ref="L23" si="29">IF(("7:00"-J23)&lt;=0,0,("7:00"-J23))</f>
        <v>0</v>
      </c>
      <c r="M23" s="8">
        <f t="shared" ref="M23" si="30">IF((K23-"18:00")&lt;=0,0,(K23-"18:00"))</f>
        <v>2.083333333333337E-2</v>
      </c>
      <c r="N23" s="9">
        <v>0</v>
      </c>
      <c r="O23" s="10">
        <v>100000</v>
      </c>
      <c r="P23" s="11">
        <f t="shared" ref="P23" si="31">N23*O23</f>
        <v>0</v>
      </c>
      <c r="Q23" s="6"/>
      <c r="R23" s="6"/>
      <c r="S23" s="6"/>
      <c r="T23" s="12"/>
      <c r="U23" s="6"/>
      <c r="V23" s="6"/>
      <c r="W23" s="13"/>
      <c r="X23" s="11">
        <f t="shared" ref="X23:X44" si="32">W23*50000</f>
        <v>0</v>
      </c>
      <c r="Y23" s="11"/>
      <c r="Z23" s="14">
        <f t="shared" si="8"/>
        <v>0</v>
      </c>
      <c r="AB23" s="16"/>
    </row>
    <row r="24" spans="1:28" s="1" customFormat="1" ht="18" customHeight="1">
      <c r="A24" s="17">
        <v>44179</v>
      </c>
      <c r="B24" s="18">
        <v>82056</v>
      </c>
      <c r="C24" s="18">
        <v>82077</v>
      </c>
      <c r="D24" s="19">
        <f t="shared" ref="D24:D25" si="33">C24-B24</f>
        <v>21</v>
      </c>
      <c r="E24" s="20"/>
      <c r="F24" s="20"/>
      <c r="G24" s="20"/>
      <c r="H24" s="20"/>
      <c r="I24" s="20"/>
      <c r="J24" s="21">
        <v>0.3125</v>
      </c>
      <c r="K24" s="21">
        <v>0.77083333333333337</v>
      </c>
      <c r="L24" s="22">
        <f t="shared" ref="L24:L25" si="34">IF(("7:00"-J24)&lt;=0,0,("7:00"-J24))</f>
        <v>0</v>
      </c>
      <c r="M24" s="22">
        <f t="shared" ref="M24:M25" si="35">IF((K24-"18:00")&lt;=0,0,(K24-"18:00"))</f>
        <v>2.083333333333337E-2</v>
      </c>
      <c r="N24" s="23"/>
      <c r="O24" s="24">
        <v>100000</v>
      </c>
      <c r="P24" s="25">
        <f t="shared" si="20"/>
        <v>0</v>
      </c>
      <c r="Q24" s="20"/>
      <c r="R24" s="20"/>
      <c r="S24" s="20"/>
      <c r="T24" s="26"/>
      <c r="U24" s="20"/>
      <c r="V24" s="20"/>
      <c r="W24" s="27"/>
      <c r="X24" s="25">
        <f t="shared" si="32"/>
        <v>0</v>
      </c>
      <c r="Y24" s="25"/>
      <c r="Z24" s="28">
        <f t="shared" si="8"/>
        <v>0</v>
      </c>
      <c r="AB24" s="2"/>
    </row>
    <row r="25" spans="1:28" s="15" customFormat="1" ht="18" customHeight="1">
      <c r="A25" s="17">
        <v>44180</v>
      </c>
      <c r="B25" s="18">
        <v>82077</v>
      </c>
      <c r="C25" s="18">
        <v>82139</v>
      </c>
      <c r="D25" s="19">
        <f t="shared" si="33"/>
        <v>62</v>
      </c>
      <c r="E25" s="20"/>
      <c r="F25" s="20"/>
      <c r="G25" s="20"/>
      <c r="H25" s="20"/>
      <c r="I25" s="20"/>
      <c r="J25" s="21">
        <v>0.3125</v>
      </c>
      <c r="K25" s="21">
        <v>0.85416666666666663</v>
      </c>
      <c r="L25" s="22">
        <f t="shared" si="34"/>
        <v>0</v>
      </c>
      <c r="M25" s="22">
        <f t="shared" si="35"/>
        <v>0.10416666666666663</v>
      </c>
      <c r="N25" s="23">
        <v>1</v>
      </c>
      <c r="O25" s="24">
        <v>100000</v>
      </c>
      <c r="P25" s="25">
        <f t="shared" ref="P25" si="36">N25*O25</f>
        <v>100000</v>
      </c>
      <c r="Q25" s="20"/>
      <c r="R25" s="20"/>
      <c r="S25" s="20"/>
      <c r="T25" s="26"/>
      <c r="U25" s="20"/>
      <c r="V25" s="20"/>
      <c r="W25" s="27"/>
      <c r="X25" s="25">
        <f t="shared" ref="X25" si="37">W25*50000</f>
        <v>0</v>
      </c>
      <c r="Y25" s="25"/>
      <c r="Z25" s="28">
        <f t="shared" si="8"/>
        <v>100000</v>
      </c>
      <c r="AB25" s="16"/>
    </row>
    <row r="26" spans="1:28" s="1" customFormat="1" ht="18" customHeight="1">
      <c r="A26" s="17">
        <v>44181</v>
      </c>
      <c r="B26" s="18">
        <v>82139</v>
      </c>
      <c r="C26" s="18">
        <v>82180</v>
      </c>
      <c r="D26" s="19">
        <f t="shared" si="17"/>
        <v>41</v>
      </c>
      <c r="E26" s="20"/>
      <c r="F26" s="20"/>
      <c r="G26" s="20"/>
      <c r="H26" s="20"/>
      <c r="I26" s="20"/>
      <c r="J26" s="21">
        <v>0.3125</v>
      </c>
      <c r="K26" s="21">
        <v>0.85416666666666663</v>
      </c>
      <c r="L26" s="22">
        <f t="shared" ref="L26" si="38">IF(("7:00"-J26)&lt;=0,0,("7:00"-J26))</f>
        <v>0</v>
      </c>
      <c r="M26" s="22">
        <f t="shared" ref="M26" si="39">IF((K26-"18:00")&lt;=0,0,(K26-"18:00"))</f>
        <v>0.10416666666666663</v>
      </c>
      <c r="N26" s="23">
        <v>1</v>
      </c>
      <c r="O26" s="24">
        <v>100000</v>
      </c>
      <c r="P26" s="25">
        <f t="shared" si="20"/>
        <v>100000</v>
      </c>
      <c r="Q26" s="20"/>
      <c r="R26" s="20"/>
      <c r="S26" s="20"/>
      <c r="T26" s="29"/>
      <c r="U26" s="20"/>
      <c r="V26" s="20"/>
      <c r="W26" s="27"/>
      <c r="X26" s="25">
        <f t="shared" si="32"/>
        <v>0</v>
      </c>
      <c r="Y26" s="25"/>
      <c r="Z26" s="28">
        <f t="shared" si="8"/>
        <v>100000</v>
      </c>
      <c r="AB26" s="2"/>
    </row>
    <row r="27" spans="1:28" s="1" customFormat="1" ht="18" customHeight="1">
      <c r="A27" s="17">
        <v>44182</v>
      </c>
      <c r="B27" s="18">
        <v>82180</v>
      </c>
      <c r="C27" s="18">
        <v>82201</v>
      </c>
      <c r="D27" s="19">
        <f t="shared" si="17"/>
        <v>21</v>
      </c>
      <c r="E27" s="20"/>
      <c r="F27" s="20"/>
      <c r="G27" s="20"/>
      <c r="H27" s="20"/>
      <c r="I27" s="20"/>
      <c r="J27" s="21">
        <v>0.3125</v>
      </c>
      <c r="K27" s="21">
        <v>0.77083333333333337</v>
      </c>
      <c r="L27" s="22">
        <f t="shared" ref="L27:L29" si="40">IF(("7:00"-J27)&lt;=0,0,("7:00"-J27))</f>
        <v>0</v>
      </c>
      <c r="M27" s="22">
        <f t="shared" ref="M27:M29" si="41">IF((K27-"18:00")&lt;=0,0,(K27-"18:00"))</f>
        <v>2.083333333333337E-2</v>
      </c>
      <c r="N27" s="23"/>
      <c r="O27" s="24">
        <v>100000</v>
      </c>
      <c r="P27" s="25">
        <f t="shared" si="20"/>
        <v>0</v>
      </c>
      <c r="Q27" s="20"/>
      <c r="R27" s="20"/>
      <c r="S27" s="20"/>
      <c r="T27" s="26"/>
      <c r="U27" s="20"/>
      <c r="V27" s="20"/>
      <c r="W27" s="27"/>
      <c r="X27" s="25">
        <f t="shared" si="32"/>
        <v>0</v>
      </c>
      <c r="Y27" s="25"/>
      <c r="Z27" s="28">
        <f t="shared" si="8"/>
        <v>0</v>
      </c>
      <c r="AB27" s="2"/>
    </row>
    <row r="28" spans="1:28" s="1" customFormat="1" ht="18" customHeight="1">
      <c r="A28" s="17">
        <v>44183</v>
      </c>
      <c r="B28" s="18">
        <v>82201</v>
      </c>
      <c r="C28" s="18">
        <v>82299</v>
      </c>
      <c r="D28" s="19">
        <f t="shared" si="17"/>
        <v>98</v>
      </c>
      <c r="E28" s="20"/>
      <c r="F28" s="20"/>
      <c r="G28" s="20"/>
      <c r="H28" s="20"/>
      <c r="I28" s="20"/>
      <c r="J28" s="21">
        <v>0.3125</v>
      </c>
      <c r="K28" s="21">
        <v>0.77083333333333337</v>
      </c>
      <c r="L28" s="22">
        <f t="shared" si="40"/>
        <v>0</v>
      </c>
      <c r="M28" s="22">
        <f t="shared" si="41"/>
        <v>2.083333333333337E-2</v>
      </c>
      <c r="N28" s="23"/>
      <c r="O28" s="24">
        <v>100000</v>
      </c>
      <c r="P28" s="25">
        <f t="shared" si="20"/>
        <v>0</v>
      </c>
      <c r="Q28" s="20"/>
      <c r="R28" s="20"/>
      <c r="S28" s="20"/>
      <c r="T28" s="26"/>
      <c r="U28" s="20"/>
      <c r="V28" s="20"/>
      <c r="W28" s="27"/>
      <c r="X28" s="25">
        <f t="shared" si="32"/>
        <v>0</v>
      </c>
      <c r="Y28" s="25"/>
      <c r="Z28" s="28">
        <f t="shared" si="8"/>
        <v>0</v>
      </c>
      <c r="AB28" s="2"/>
    </row>
    <row r="29" spans="1:28" s="1" customFormat="1" ht="18" customHeight="1">
      <c r="A29" s="17">
        <v>44184</v>
      </c>
      <c r="B29" s="18">
        <v>82299</v>
      </c>
      <c r="C29" s="18">
        <v>82392</v>
      </c>
      <c r="D29" s="19">
        <f t="shared" si="17"/>
        <v>93</v>
      </c>
      <c r="E29" s="20"/>
      <c r="F29" s="20"/>
      <c r="G29" s="20"/>
      <c r="H29" s="20"/>
      <c r="I29" s="20"/>
      <c r="J29" s="21">
        <v>0.3125</v>
      </c>
      <c r="K29" s="21">
        <v>0.91666666666666663</v>
      </c>
      <c r="L29" s="22">
        <f t="shared" si="40"/>
        <v>0</v>
      </c>
      <c r="M29" s="22">
        <f t="shared" si="41"/>
        <v>0.16666666666666663</v>
      </c>
      <c r="N29" s="23">
        <v>1</v>
      </c>
      <c r="O29" s="24">
        <v>100000</v>
      </c>
      <c r="P29" s="25">
        <f t="shared" si="20"/>
        <v>100000</v>
      </c>
      <c r="Q29" s="20"/>
      <c r="R29" s="20"/>
      <c r="S29" s="20"/>
      <c r="T29" s="26"/>
      <c r="U29" s="20"/>
      <c r="V29" s="20"/>
      <c r="W29" s="27">
        <v>1</v>
      </c>
      <c r="X29" s="25">
        <f t="shared" si="32"/>
        <v>50000</v>
      </c>
      <c r="Y29" s="25"/>
      <c r="Z29" s="28">
        <f t="shared" si="8"/>
        <v>150000</v>
      </c>
      <c r="AB29" s="2"/>
    </row>
    <row r="30" spans="1:28" s="69" customFormat="1" ht="18" customHeight="1">
      <c r="A30" s="3">
        <v>44185</v>
      </c>
      <c r="B30" s="4">
        <v>0</v>
      </c>
      <c r="C30" s="4">
        <v>0</v>
      </c>
      <c r="D30" s="5">
        <f t="shared" si="17"/>
        <v>0</v>
      </c>
      <c r="E30" s="6"/>
      <c r="F30" s="6"/>
      <c r="G30" s="6"/>
      <c r="H30" s="6"/>
      <c r="I30" s="6"/>
      <c r="J30" s="7">
        <v>0.3125</v>
      </c>
      <c r="K30" s="7">
        <v>0.77083333333333337</v>
      </c>
      <c r="L30" s="8">
        <f t="shared" ref="L30:L31" si="42">IF(("7:00"-J30)&lt;=0,0,("7:00"-J30))</f>
        <v>0</v>
      </c>
      <c r="M30" s="8">
        <f t="shared" ref="M30:M31" si="43">IF((K30-"18:00")&lt;=0,0,(K30-"18:00"))</f>
        <v>2.083333333333337E-2</v>
      </c>
      <c r="N30" s="9">
        <v>0</v>
      </c>
      <c r="O30" s="10">
        <v>100000</v>
      </c>
      <c r="P30" s="10">
        <f t="shared" si="20"/>
        <v>0</v>
      </c>
      <c r="Q30" s="6"/>
      <c r="R30" s="6"/>
      <c r="S30" s="6"/>
      <c r="T30" s="12"/>
      <c r="U30" s="6"/>
      <c r="V30" s="6"/>
      <c r="W30" s="13"/>
      <c r="X30" s="11">
        <f t="shared" si="32"/>
        <v>0</v>
      </c>
      <c r="Y30" s="11"/>
      <c r="Z30" s="14">
        <f t="shared" si="8"/>
        <v>0</v>
      </c>
      <c r="AB30" s="70"/>
    </row>
    <row r="31" spans="1:28" s="30" customFormat="1" ht="18" customHeight="1">
      <c r="A31" s="17">
        <v>44186</v>
      </c>
      <c r="B31" s="18">
        <v>82462</v>
      </c>
      <c r="C31" s="18">
        <v>82494</v>
      </c>
      <c r="D31" s="19">
        <f t="shared" si="17"/>
        <v>32</v>
      </c>
      <c r="E31" s="20"/>
      <c r="F31" s="20"/>
      <c r="G31" s="20"/>
      <c r="H31" s="20"/>
      <c r="I31" s="20"/>
      <c r="J31" s="21">
        <v>0.3125</v>
      </c>
      <c r="K31" s="21">
        <v>0.85416666666666663</v>
      </c>
      <c r="L31" s="22">
        <f t="shared" si="42"/>
        <v>0</v>
      </c>
      <c r="M31" s="22">
        <f t="shared" si="43"/>
        <v>0.10416666666666663</v>
      </c>
      <c r="N31" s="23">
        <v>1</v>
      </c>
      <c r="O31" s="24">
        <v>100000</v>
      </c>
      <c r="P31" s="24">
        <f>N31*O31</f>
        <v>100000</v>
      </c>
      <c r="Q31" s="20"/>
      <c r="R31" s="20"/>
      <c r="S31" s="20"/>
      <c r="T31" s="26"/>
      <c r="U31" s="20"/>
      <c r="V31" s="20"/>
      <c r="W31" s="27"/>
      <c r="X31" s="25">
        <f t="shared" si="32"/>
        <v>0</v>
      </c>
      <c r="Y31" s="25"/>
      <c r="Z31" s="28">
        <f t="shared" si="8"/>
        <v>100000</v>
      </c>
      <c r="AB31" s="31"/>
    </row>
    <row r="32" spans="1:28" s="15" customFormat="1" ht="18" customHeight="1">
      <c r="A32" s="17">
        <v>44187</v>
      </c>
      <c r="B32" s="18">
        <v>82494</v>
      </c>
      <c r="C32" s="18">
        <v>82515</v>
      </c>
      <c r="D32" s="19">
        <f t="shared" si="17"/>
        <v>21</v>
      </c>
      <c r="E32" s="20"/>
      <c r="F32" s="20"/>
      <c r="G32" s="20"/>
      <c r="H32" s="20"/>
      <c r="I32" s="20"/>
      <c r="J32" s="21">
        <v>0.3125</v>
      </c>
      <c r="K32" s="21">
        <v>0.85416666666666663</v>
      </c>
      <c r="L32" s="22">
        <f t="shared" ref="L32" si="44">IF(("7:00"-J32)&lt;=0,0,("7:00"-J32))</f>
        <v>0</v>
      </c>
      <c r="M32" s="22">
        <f t="shared" ref="M32" si="45">IF((K32-"18:00")&lt;=0,0,(K32-"18:00"))</f>
        <v>0.10416666666666663</v>
      </c>
      <c r="N32" s="23">
        <v>1</v>
      </c>
      <c r="O32" s="24">
        <v>100000</v>
      </c>
      <c r="P32" s="25">
        <f t="shared" ref="P32" si="46">N32*O32</f>
        <v>100000</v>
      </c>
      <c r="Q32" s="20"/>
      <c r="R32" s="20"/>
      <c r="S32" s="20"/>
      <c r="T32" s="26"/>
      <c r="U32" s="20"/>
      <c r="V32" s="20"/>
      <c r="W32" s="27"/>
      <c r="X32" s="25">
        <f t="shared" si="32"/>
        <v>0</v>
      </c>
      <c r="Y32" s="25"/>
      <c r="Z32" s="28">
        <f t="shared" si="8"/>
        <v>100000</v>
      </c>
      <c r="AB32" s="16"/>
    </row>
    <row r="33" spans="1:27" s="1" customFormat="1" ht="18" customHeight="1">
      <c r="A33" s="17">
        <v>44188</v>
      </c>
      <c r="B33" s="18">
        <v>82515</v>
      </c>
      <c r="C33" s="18">
        <v>82606</v>
      </c>
      <c r="D33" s="19">
        <f t="shared" si="17"/>
        <v>91</v>
      </c>
      <c r="E33" s="20"/>
      <c r="F33" s="20"/>
      <c r="G33" s="20"/>
      <c r="H33" s="20"/>
      <c r="I33" s="20"/>
      <c r="J33" s="21">
        <v>0.3125</v>
      </c>
      <c r="K33" s="21">
        <v>0.85416666666666663</v>
      </c>
      <c r="L33" s="22">
        <f t="shared" ref="L33" si="47">IF(("7:00"-J33)&lt;=0,0,("7:00"-J33))</f>
        <v>0</v>
      </c>
      <c r="M33" s="22">
        <f t="shared" ref="M33" si="48">IF((K33-"18:00")&lt;=0,0,(K33-"18:00"))</f>
        <v>0.10416666666666663</v>
      </c>
      <c r="N33" s="23">
        <v>1</v>
      </c>
      <c r="O33" s="24">
        <v>100000</v>
      </c>
      <c r="P33" s="25">
        <f t="shared" si="20"/>
        <v>100000</v>
      </c>
      <c r="Q33" s="20"/>
      <c r="R33" s="20"/>
      <c r="S33" s="20"/>
      <c r="T33" s="26"/>
      <c r="U33" s="20"/>
      <c r="V33" s="20"/>
      <c r="W33" s="27"/>
      <c r="X33" s="25">
        <f t="shared" si="32"/>
        <v>0</v>
      </c>
      <c r="Y33" s="25"/>
      <c r="Z33" s="28">
        <f t="shared" si="8"/>
        <v>100000</v>
      </c>
    </row>
    <row r="34" spans="1:27" s="1" customFormat="1" ht="18" customHeight="1">
      <c r="A34" s="17">
        <v>44189</v>
      </c>
      <c r="B34" s="18">
        <v>82606</v>
      </c>
      <c r="C34" s="18">
        <v>82989</v>
      </c>
      <c r="D34" s="19">
        <f t="shared" si="17"/>
        <v>383</v>
      </c>
      <c r="E34" s="20"/>
      <c r="F34" s="20"/>
      <c r="G34" s="20"/>
      <c r="H34" s="20"/>
      <c r="I34" s="20"/>
      <c r="J34" s="21">
        <v>0.3125</v>
      </c>
      <c r="K34" s="21">
        <v>0.85416666666666663</v>
      </c>
      <c r="L34" s="22">
        <f t="shared" ref="L34" si="49">IF(("7:00"-J34)&lt;=0,0,("7:00"-J34))</f>
        <v>0</v>
      </c>
      <c r="M34" s="22">
        <f t="shared" ref="M34" si="50">IF((K34-"18:00")&lt;=0,0,(K34-"18:00"))</f>
        <v>0.10416666666666663</v>
      </c>
      <c r="N34" s="23">
        <v>1</v>
      </c>
      <c r="O34" s="24">
        <v>100000</v>
      </c>
      <c r="P34" s="25">
        <f t="shared" si="20"/>
        <v>100000</v>
      </c>
      <c r="Q34" s="20"/>
      <c r="R34" s="20"/>
      <c r="S34" s="20"/>
      <c r="T34" s="26"/>
      <c r="U34" s="20"/>
      <c r="V34" s="20"/>
      <c r="W34" s="27">
        <v>1</v>
      </c>
      <c r="X34" s="25">
        <f t="shared" si="32"/>
        <v>50000</v>
      </c>
      <c r="Y34" s="25">
        <v>270000</v>
      </c>
      <c r="Z34" s="28">
        <f t="shared" si="8"/>
        <v>420000</v>
      </c>
    </row>
    <row r="35" spans="1:27" s="1" customFormat="1" ht="18" customHeight="1">
      <c r="A35" s="17">
        <v>44190</v>
      </c>
      <c r="B35" s="18">
        <v>82989</v>
      </c>
      <c r="C35" s="18">
        <v>83212</v>
      </c>
      <c r="D35" s="19">
        <f t="shared" si="17"/>
        <v>223</v>
      </c>
      <c r="E35" s="20"/>
      <c r="F35" s="20"/>
      <c r="G35" s="20"/>
      <c r="H35" s="20"/>
      <c r="I35" s="20"/>
      <c r="J35" s="72">
        <v>0.3125</v>
      </c>
      <c r="K35" s="72">
        <v>0.52083333333333337</v>
      </c>
      <c r="L35" s="74">
        <f t="shared" ref="L35:L36" si="51">IF(("7:00"-J35)&lt;=0,0,("7:00"-J35))</f>
        <v>0</v>
      </c>
      <c r="M35" s="74">
        <f t="shared" ref="M35:M36" si="52">IF((K35-"18:00")&lt;=0,0,(K35-"18:00"))</f>
        <v>0</v>
      </c>
      <c r="N35" s="71">
        <v>2</v>
      </c>
      <c r="O35" s="73">
        <v>100000</v>
      </c>
      <c r="P35" s="25">
        <f>N35*O35</f>
        <v>200000</v>
      </c>
      <c r="Q35" s="20"/>
      <c r="R35" s="20"/>
      <c r="S35" s="20"/>
      <c r="T35" s="26"/>
      <c r="U35" s="20"/>
      <c r="V35" s="20"/>
      <c r="W35" s="27">
        <v>1</v>
      </c>
      <c r="X35" s="25">
        <f t="shared" si="32"/>
        <v>50000</v>
      </c>
      <c r="Y35" s="25"/>
      <c r="Z35" s="28">
        <f t="shared" si="8"/>
        <v>250000</v>
      </c>
    </row>
    <row r="36" spans="1:27" s="1" customFormat="1" ht="18" customHeight="1">
      <c r="A36" s="17">
        <v>44191</v>
      </c>
      <c r="B36" s="18">
        <v>83212</v>
      </c>
      <c r="C36" s="18">
        <v>83609</v>
      </c>
      <c r="D36" s="19">
        <f t="shared" ref="D36:D38" si="53">C36-B36</f>
        <v>397</v>
      </c>
      <c r="E36" s="20"/>
      <c r="F36" s="20"/>
      <c r="G36" s="20"/>
      <c r="H36" s="20"/>
      <c r="I36" s="20"/>
      <c r="J36" s="21">
        <v>0.3125</v>
      </c>
      <c r="K36" s="21">
        <v>0.85416666666666663</v>
      </c>
      <c r="L36" s="22">
        <f t="shared" si="51"/>
        <v>0</v>
      </c>
      <c r="M36" s="22">
        <f t="shared" si="52"/>
        <v>0.10416666666666663</v>
      </c>
      <c r="N36" s="23">
        <v>1</v>
      </c>
      <c r="O36" s="24">
        <v>100000</v>
      </c>
      <c r="P36" s="25">
        <f t="shared" ref="P36:P37" si="54">N36*O36</f>
        <v>100000</v>
      </c>
      <c r="Q36" s="20"/>
      <c r="R36" s="20"/>
      <c r="S36" s="20"/>
      <c r="T36" s="26"/>
      <c r="U36" s="20"/>
      <c r="V36" s="20"/>
      <c r="W36" s="27">
        <v>1</v>
      </c>
      <c r="X36" s="25">
        <f t="shared" ref="X36" si="55">W36*50000</f>
        <v>50000</v>
      </c>
      <c r="Y36" s="25">
        <v>370000</v>
      </c>
      <c r="Z36" s="28">
        <f t="shared" si="8"/>
        <v>520000</v>
      </c>
    </row>
    <row r="37" spans="1:27" s="15" customFormat="1" ht="18" customHeight="1">
      <c r="A37" s="3">
        <v>44192</v>
      </c>
      <c r="B37" s="4">
        <v>0</v>
      </c>
      <c r="C37" s="4">
        <v>0</v>
      </c>
      <c r="D37" s="5">
        <f t="shared" si="53"/>
        <v>0</v>
      </c>
      <c r="E37" s="6"/>
      <c r="F37" s="6"/>
      <c r="G37" s="6"/>
      <c r="H37" s="6"/>
      <c r="I37" s="6"/>
      <c r="J37" s="7">
        <v>0.3125</v>
      </c>
      <c r="K37" s="7">
        <v>0.77083333333333337</v>
      </c>
      <c r="L37" s="8">
        <f t="shared" ref="L37:L38" si="56">IF(("7:00"-J37)&lt;=0,0,("7:00"-J37))</f>
        <v>0</v>
      </c>
      <c r="M37" s="8">
        <f t="shared" ref="M37:M38" si="57">IF((K37-"18:00")&lt;=0,0,(K37-"18:00"))</f>
        <v>2.083333333333337E-2</v>
      </c>
      <c r="N37" s="9"/>
      <c r="O37" s="10">
        <v>100000</v>
      </c>
      <c r="P37" s="11">
        <f t="shared" si="54"/>
        <v>0</v>
      </c>
      <c r="Q37" s="6"/>
      <c r="R37" s="6"/>
      <c r="S37" s="6"/>
      <c r="T37" s="12"/>
      <c r="U37" s="6"/>
      <c r="V37" s="6"/>
      <c r="W37" s="13"/>
      <c r="X37" s="11">
        <f>W37*50000</f>
        <v>0</v>
      </c>
      <c r="Y37" s="11"/>
      <c r="Z37" s="14">
        <f t="shared" si="8"/>
        <v>0</v>
      </c>
    </row>
    <row r="38" spans="1:27" s="1" customFormat="1" ht="17.25" customHeight="1">
      <c r="A38" s="17">
        <v>44193</v>
      </c>
      <c r="B38" s="18">
        <v>83805</v>
      </c>
      <c r="C38" s="18">
        <v>83895</v>
      </c>
      <c r="D38" s="19">
        <f t="shared" si="53"/>
        <v>90</v>
      </c>
      <c r="E38" s="20"/>
      <c r="F38" s="20"/>
      <c r="G38" s="20"/>
      <c r="H38" s="20"/>
      <c r="I38" s="20"/>
      <c r="J38" s="21">
        <v>0.3125</v>
      </c>
      <c r="K38" s="21">
        <v>0.85416666666666663</v>
      </c>
      <c r="L38" s="22">
        <f t="shared" si="56"/>
        <v>0</v>
      </c>
      <c r="M38" s="22">
        <f t="shared" si="57"/>
        <v>0.10416666666666663</v>
      </c>
      <c r="N38" s="23">
        <v>1</v>
      </c>
      <c r="O38" s="24">
        <v>100000</v>
      </c>
      <c r="P38" s="25">
        <f>N38*O38</f>
        <v>100000</v>
      </c>
      <c r="Q38" s="20"/>
      <c r="R38" s="20"/>
      <c r="S38" s="20"/>
      <c r="T38" s="26"/>
      <c r="U38" s="20"/>
      <c r="V38" s="20"/>
      <c r="W38" s="27"/>
      <c r="X38" s="25">
        <f t="shared" ref="X38" si="58">W38*50000</f>
        <v>0</v>
      </c>
      <c r="Y38" s="25"/>
      <c r="Z38" s="28">
        <f t="shared" si="8"/>
        <v>100000</v>
      </c>
    </row>
    <row r="39" spans="1:27" s="15" customFormat="1" ht="18" customHeight="1">
      <c r="A39" s="17">
        <v>44194</v>
      </c>
      <c r="B39" s="18">
        <v>83895</v>
      </c>
      <c r="C39" s="18">
        <v>83951</v>
      </c>
      <c r="D39" s="19">
        <f t="shared" si="17"/>
        <v>56</v>
      </c>
      <c r="E39" s="20"/>
      <c r="F39" s="20"/>
      <c r="G39" s="20"/>
      <c r="H39" s="20"/>
      <c r="I39" s="20"/>
      <c r="J39" s="21">
        <v>0.3125</v>
      </c>
      <c r="K39" s="21">
        <v>0.77083333333333337</v>
      </c>
      <c r="L39" s="22">
        <f t="shared" ref="L39" si="59">IF(("7:00"-J39)&lt;=0,0,("7:00"-J39))</f>
        <v>0</v>
      </c>
      <c r="M39" s="22">
        <f t="shared" ref="M39" si="60">IF((K39-"18:00")&lt;=0,0,(K39-"18:00"))</f>
        <v>2.083333333333337E-2</v>
      </c>
      <c r="N39" s="23"/>
      <c r="O39" s="24">
        <v>100000</v>
      </c>
      <c r="P39" s="25">
        <f t="shared" si="20"/>
        <v>0</v>
      </c>
      <c r="Q39" s="20"/>
      <c r="R39" s="20"/>
      <c r="S39" s="20"/>
      <c r="T39" s="26"/>
      <c r="U39" s="20"/>
      <c r="V39" s="20"/>
      <c r="W39" s="27"/>
      <c r="X39" s="25">
        <f t="shared" si="32"/>
        <v>0</v>
      </c>
      <c r="Y39" s="25"/>
      <c r="Z39" s="28">
        <f t="shared" si="8"/>
        <v>0</v>
      </c>
    </row>
    <row r="40" spans="1:27" s="1" customFormat="1" ht="18" customHeight="1">
      <c r="A40" s="17">
        <v>44195</v>
      </c>
      <c r="B40" s="18">
        <v>83951</v>
      </c>
      <c r="C40" s="18">
        <v>84079</v>
      </c>
      <c r="D40" s="19">
        <f>C40-B40</f>
        <v>128</v>
      </c>
      <c r="E40" s="20"/>
      <c r="F40" s="20"/>
      <c r="G40" s="20"/>
      <c r="H40" s="20"/>
      <c r="I40" s="20"/>
      <c r="J40" s="21">
        <v>0.3125</v>
      </c>
      <c r="K40" s="21">
        <v>0.77083333333333337</v>
      </c>
      <c r="L40" s="22">
        <f t="shared" ref="L40:L41" si="61">IF(("7:00"-J40)&lt;=0,0,("7:00"-J40))</f>
        <v>0</v>
      </c>
      <c r="M40" s="22">
        <f t="shared" ref="M40:M41" si="62">IF((K40-"18:00")&lt;=0,0,(K40-"18:00"))</f>
        <v>2.083333333333337E-2</v>
      </c>
      <c r="N40" s="23"/>
      <c r="O40" s="24">
        <v>100000</v>
      </c>
      <c r="P40" s="25">
        <f t="shared" si="20"/>
        <v>0</v>
      </c>
      <c r="Q40" s="20"/>
      <c r="R40" s="20"/>
      <c r="S40" s="20"/>
      <c r="T40" s="26"/>
      <c r="U40" s="20"/>
      <c r="V40" s="20"/>
      <c r="W40" s="27"/>
      <c r="X40" s="25">
        <f>W40*50000</f>
        <v>0</v>
      </c>
      <c r="Y40" s="25"/>
      <c r="Z40" s="28">
        <f t="shared" si="8"/>
        <v>0</v>
      </c>
    </row>
    <row r="41" spans="1:27" s="1" customFormat="1" ht="18" customHeight="1">
      <c r="A41" s="17">
        <v>44196</v>
      </c>
      <c r="B41" s="18">
        <v>84079</v>
      </c>
      <c r="C41" s="18">
        <v>84122</v>
      </c>
      <c r="D41" s="19">
        <f>C41-B41</f>
        <v>43</v>
      </c>
      <c r="E41" s="20"/>
      <c r="F41" s="20"/>
      <c r="G41" s="20"/>
      <c r="H41" s="20"/>
      <c r="I41" s="20"/>
      <c r="J41" s="21">
        <v>0.3125</v>
      </c>
      <c r="K41" s="21">
        <v>0.85416666666666663</v>
      </c>
      <c r="L41" s="22">
        <f t="shared" si="61"/>
        <v>0</v>
      </c>
      <c r="M41" s="22">
        <f t="shared" si="62"/>
        <v>0.10416666666666663</v>
      </c>
      <c r="N41" s="23">
        <v>1</v>
      </c>
      <c r="O41" s="24">
        <v>100000</v>
      </c>
      <c r="P41" s="25">
        <f t="shared" si="20"/>
        <v>100000</v>
      </c>
      <c r="Q41" s="20"/>
      <c r="R41" s="20"/>
      <c r="S41" s="20"/>
      <c r="T41" s="26"/>
      <c r="U41" s="20"/>
      <c r="V41" s="20"/>
      <c r="W41" s="27"/>
      <c r="X41" s="25">
        <f>W41*50000</f>
        <v>0</v>
      </c>
      <c r="Y41" s="25"/>
      <c r="Z41" s="28">
        <f t="shared" si="8"/>
        <v>100000</v>
      </c>
    </row>
    <row r="42" spans="1:27" s="1" customFormat="1" ht="18" customHeight="1">
      <c r="A42" s="17"/>
      <c r="B42" s="18"/>
      <c r="C42" s="18"/>
      <c r="D42" s="19">
        <f t="shared" ref="D42" si="63">C42-B42</f>
        <v>0</v>
      </c>
      <c r="E42" s="20"/>
      <c r="F42" s="20"/>
      <c r="G42" s="20"/>
      <c r="H42" s="20"/>
      <c r="I42" s="20"/>
      <c r="J42" s="21">
        <v>0.3125</v>
      </c>
      <c r="K42" s="21">
        <v>0.77083333333333337</v>
      </c>
      <c r="L42" s="22">
        <f t="shared" ref="L42:L44" si="64">IF(("7:00"-J42)&lt;=0,0,("7:00"-J42))</f>
        <v>0</v>
      </c>
      <c r="M42" s="22">
        <f t="shared" ref="M42:M44" si="65">IF((K42-"18:00")&lt;=0,0,(K42-"18:00"))</f>
        <v>2.083333333333337E-2</v>
      </c>
      <c r="N42" s="23" t="e">
        <f>+#REF!</f>
        <v>#REF!</v>
      </c>
      <c r="O42" s="24">
        <v>40000</v>
      </c>
      <c r="P42" s="25" t="e">
        <f t="shared" ref="P42" si="66">N42*O42</f>
        <v>#REF!</v>
      </c>
      <c r="Q42" s="20"/>
      <c r="R42" s="20"/>
      <c r="S42" s="20"/>
      <c r="T42" s="26"/>
      <c r="U42" s="20"/>
      <c r="V42" s="20"/>
      <c r="W42" s="27"/>
      <c r="X42" s="25">
        <f t="shared" si="32"/>
        <v>0</v>
      </c>
      <c r="Y42" s="25"/>
      <c r="Z42" s="28" t="e">
        <f>SUM(I42+P42+Q42+(R42*S42)+V42+(W42*X42)+Y42)</f>
        <v>#REF!</v>
      </c>
    </row>
    <row r="43" spans="1:27" s="1" customFormat="1" ht="18" customHeight="1">
      <c r="A43" s="17"/>
      <c r="B43" s="18"/>
      <c r="C43" s="18"/>
      <c r="D43" s="19">
        <f t="shared" si="17"/>
        <v>0</v>
      </c>
      <c r="E43" s="20"/>
      <c r="F43" s="20"/>
      <c r="G43" s="20"/>
      <c r="H43" s="20"/>
      <c r="I43" s="20"/>
      <c r="J43" s="21">
        <v>0.3125</v>
      </c>
      <c r="K43" s="21">
        <v>0.77083333333333337</v>
      </c>
      <c r="L43" s="22">
        <f t="shared" si="64"/>
        <v>0</v>
      </c>
      <c r="M43" s="22">
        <f t="shared" si="65"/>
        <v>2.083333333333337E-2</v>
      </c>
      <c r="N43" s="23" t="e">
        <f>+#REF!</f>
        <v>#REF!</v>
      </c>
      <c r="O43" s="24">
        <v>40000</v>
      </c>
      <c r="P43" s="25" t="e">
        <f t="shared" si="20"/>
        <v>#REF!</v>
      </c>
      <c r="Q43" s="20"/>
      <c r="R43" s="20"/>
      <c r="S43" s="20"/>
      <c r="T43" s="26"/>
      <c r="U43" s="20"/>
      <c r="V43" s="20"/>
      <c r="W43" s="27"/>
      <c r="X43" s="25">
        <f t="shared" si="32"/>
        <v>0</v>
      </c>
      <c r="Y43" s="25"/>
      <c r="Z43" s="28" t="e">
        <f>SUM(I43+P43+Q43+(R43*S43)+V43+(W43*X43)+Y43)</f>
        <v>#REF!</v>
      </c>
    </row>
    <row r="44" spans="1:27" s="1" customFormat="1" ht="18" customHeight="1">
      <c r="A44" s="17"/>
      <c r="B44" s="18"/>
      <c r="C44" s="18"/>
      <c r="D44" s="19">
        <f t="shared" si="17"/>
        <v>0</v>
      </c>
      <c r="E44" s="20"/>
      <c r="F44" s="20"/>
      <c r="G44" s="20"/>
      <c r="H44" s="20"/>
      <c r="I44" s="20"/>
      <c r="J44" s="21">
        <v>0.3125</v>
      </c>
      <c r="K44" s="21">
        <v>0.77083333333333337</v>
      </c>
      <c r="L44" s="22">
        <f t="shared" si="64"/>
        <v>0</v>
      </c>
      <c r="M44" s="22">
        <f t="shared" si="65"/>
        <v>2.083333333333337E-2</v>
      </c>
      <c r="N44" s="23" t="e">
        <f>+#REF!</f>
        <v>#REF!</v>
      </c>
      <c r="O44" s="24">
        <v>40000</v>
      </c>
      <c r="P44" s="25" t="e">
        <f t="shared" si="20"/>
        <v>#REF!</v>
      </c>
      <c r="Q44" s="20"/>
      <c r="R44" s="20"/>
      <c r="S44" s="20"/>
      <c r="T44" s="26"/>
      <c r="U44" s="20"/>
      <c r="V44" s="20"/>
      <c r="W44" s="27"/>
      <c r="X44" s="25">
        <f t="shared" si="32"/>
        <v>0</v>
      </c>
      <c r="Y44" s="25"/>
      <c r="Z44" s="28" t="e">
        <f>SUM(I44+P44+Q44+(R44*S44)+V44+(W44*X44)+Y44)</f>
        <v>#REF!</v>
      </c>
    </row>
    <row r="45" spans="1:27" s="53" customFormat="1" ht="18" customHeight="1">
      <c r="A45" s="45"/>
      <c r="B45" s="46"/>
      <c r="C45" s="46"/>
      <c r="D45" s="47">
        <f>SUM(D11:D41)-(D16+D23+D30+D37)</f>
        <v>2735</v>
      </c>
      <c r="E45" s="47">
        <f>SUM(E11:E41)</f>
        <v>0</v>
      </c>
      <c r="F45" s="48">
        <f>SUM(F10:F41)</f>
        <v>22000000</v>
      </c>
      <c r="G45" s="48">
        <f t="shared" ref="G45:I45" si="67">SUM(G10:G41)</f>
        <v>0</v>
      </c>
      <c r="H45" s="48">
        <f t="shared" si="67"/>
        <v>5000</v>
      </c>
      <c r="I45" s="48">
        <f t="shared" si="67"/>
        <v>0</v>
      </c>
      <c r="J45" s="65"/>
      <c r="K45" s="65"/>
      <c r="L45" s="49"/>
      <c r="M45" s="49"/>
      <c r="N45" s="47">
        <f>SUM(N11:N41)-(N16+N23+N30+N37)</f>
        <v>22</v>
      </c>
      <c r="O45" s="50"/>
      <c r="P45" s="48">
        <f>SUM(P10:P41)</f>
        <v>2240000</v>
      </c>
      <c r="Q45" s="51"/>
      <c r="R45" s="51"/>
      <c r="S45" s="51"/>
      <c r="T45" s="52"/>
      <c r="U45" s="51"/>
      <c r="V45" s="51"/>
      <c r="W45" s="48">
        <f>SUM(W10:W41)</f>
        <v>5</v>
      </c>
      <c r="X45" s="48">
        <f t="shared" ref="X45" si="68">SUM(X10:X41)</f>
        <v>250000</v>
      </c>
      <c r="Y45" s="48">
        <f>SUM(Y10:Y41)</f>
        <v>910000</v>
      </c>
      <c r="Z45" s="48">
        <f>SUM(Z10:Z41)</f>
        <v>25400000</v>
      </c>
    </row>
    <row r="46" spans="1:27" s="37" customFormat="1" ht="9.75" customHeight="1">
      <c r="A46" s="54"/>
      <c r="B46" s="54"/>
      <c r="C46" s="54"/>
      <c r="D46" s="55"/>
      <c r="E46" s="56"/>
      <c r="F46" s="56"/>
      <c r="G46" s="56"/>
      <c r="H46" s="56"/>
      <c r="I46" s="56"/>
      <c r="J46" s="56"/>
      <c r="K46" s="56"/>
      <c r="L46" s="56"/>
      <c r="M46" s="56"/>
      <c r="N46" s="57"/>
      <c r="O46" s="58"/>
      <c r="P46" s="59"/>
      <c r="Q46" s="56"/>
      <c r="R46" s="56"/>
      <c r="S46" s="56"/>
      <c r="T46" s="60"/>
      <c r="U46" s="56"/>
      <c r="V46" s="56"/>
      <c r="W46" s="61"/>
      <c r="X46" s="59"/>
      <c r="Y46" s="59"/>
      <c r="Z46" s="59"/>
    </row>
    <row r="47" spans="1:27" ht="13.5" customHeight="1">
      <c r="A47" s="303" t="str">
        <f>A1</f>
        <v>CÔNG TY  TNHH THƯƠNG MẠI DỊCH VỤ VẬN TẢI SUMO</v>
      </c>
      <c r="B47" s="304"/>
      <c r="C47" s="304"/>
      <c r="D47" s="304"/>
      <c r="E47" s="304"/>
      <c r="F47" s="304"/>
      <c r="G47" s="304"/>
      <c r="H47" s="304"/>
      <c r="I47" s="304"/>
      <c r="J47" s="304"/>
      <c r="K47" s="304"/>
      <c r="L47" s="304"/>
      <c r="M47" s="304"/>
      <c r="N47" s="304"/>
      <c r="O47" s="304" t="s">
        <v>32</v>
      </c>
      <c r="P47" s="304"/>
      <c r="Q47" s="304"/>
      <c r="R47" s="304"/>
      <c r="S47" s="304"/>
      <c r="T47" s="304"/>
      <c r="U47" s="304"/>
      <c r="V47" s="304"/>
      <c r="W47" s="304"/>
      <c r="X47" s="304"/>
      <c r="Y47" s="304"/>
      <c r="Z47" s="304"/>
      <c r="AA47" s="62"/>
    </row>
    <row r="48" spans="1:27">
      <c r="U48" s="305"/>
      <c r="V48" s="306"/>
      <c r="W48" s="306"/>
      <c r="X48" s="306"/>
      <c r="Y48" s="306"/>
      <c r="Z48" s="306"/>
    </row>
    <row r="49" spans="4:4">
      <c r="D49" s="63">
        <f>SUM(D11:D41)</f>
        <v>2735</v>
      </c>
    </row>
  </sheetData>
  <sheetProtection selectLockedCells="1" selectUnlockedCells="1"/>
  <autoFilter ref="A10:CN45" xr:uid="{00000000-0009-0000-0000-000001000000}"/>
  <mergeCells count="26">
    <mergeCell ref="A4:Z4"/>
    <mergeCell ref="A1:J1"/>
    <mergeCell ref="P1:Z1"/>
    <mergeCell ref="P2:Z2"/>
    <mergeCell ref="A3:Z3"/>
    <mergeCell ref="A5:Z5"/>
    <mergeCell ref="A6:Z6"/>
    <mergeCell ref="V7:Z7"/>
    <mergeCell ref="A8:A9"/>
    <mergeCell ref="B8:B9"/>
    <mergeCell ref="C8:C9"/>
    <mergeCell ref="D8:D9"/>
    <mergeCell ref="E8:F8"/>
    <mergeCell ref="G8:I8"/>
    <mergeCell ref="J8:J9"/>
    <mergeCell ref="Y8:Y9"/>
    <mergeCell ref="Z8:Z9"/>
    <mergeCell ref="A47:N47"/>
    <mergeCell ref="O47:Z47"/>
    <mergeCell ref="U48:Z48"/>
    <mergeCell ref="K8:K9"/>
    <mergeCell ref="N8:P8"/>
    <mergeCell ref="Q8:Q9"/>
    <mergeCell ref="R8:S8"/>
    <mergeCell ref="T8:V8"/>
    <mergeCell ref="W8:X8"/>
  </mergeCells>
  <phoneticPr fontId="3" type="noConversion"/>
  <pageMargins left="0" right="0.25" top="0.23622047244094499" bottom="0" header="0.23622047244094499" footer="0"/>
  <pageSetup paperSize="9" scale="8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B49"/>
  <sheetViews>
    <sheetView view="pageBreakPreview" topLeftCell="A12" zoomScale="70" zoomScaleNormal="85" zoomScaleSheetLayoutView="70" workbookViewId="0">
      <selection activeCell="AA45" sqref="AA45"/>
    </sheetView>
  </sheetViews>
  <sheetFormatPr defaultColWidth="9.28515625" defaultRowHeight="15"/>
  <cols>
    <col min="1" max="1" width="11.28515625" style="36" customWidth="1"/>
    <col min="2" max="3" width="8.140625" style="36" customWidth="1"/>
    <col min="4" max="4" width="8.140625" style="34" customWidth="1"/>
    <col min="5" max="5" width="7.28515625" style="34" customWidth="1"/>
    <col min="6" max="6" width="15.85546875" style="34" customWidth="1"/>
    <col min="7" max="7" width="11.140625" style="34" customWidth="1"/>
    <col min="8" max="8" width="11" style="34" customWidth="1"/>
    <col min="9" max="9" width="15.140625" style="34" customWidth="1"/>
    <col min="10" max="11" width="8.28515625" style="34" customWidth="1"/>
    <col min="12" max="13" width="3.28515625" style="34" hidden="1" customWidth="1"/>
    <col min="14" max="14" width="7.85546875" style="34" customWidth="1"/>
    <col min="15" max="15" width="9.7109375" style="35" customWidth="1"/>
    <col min="16" max="16" width="14.28515625" style="34" customWidth="1"/>
    <col min="17" max="18" width="8" style="34" customWidth="1"/>
    <col min="19" max="20" width="13.28515625" style="34" customWidth="1"/>
    <col min="21" max="21" width="12.7109375" style="34" customWidth="1"/>
    <col min="22" max="22" width="9.28515625" style="34" customWidth="1"/>
    <col min="23" max="23" width="9.28515625" style="63" customWidth="1"/>
    <col min="24" max="24" width="13.140625" style="34" customWidth="1"/>
    <col min="25" max="25" width="13.85546875" style="34" customWidth="1"/>
    <col min="26" max="26" width="16.28515625" style="34" customWidth="1"/>
    <col min="27" max="27" width="33.28515625" style="34" customWidth="1"/>
    <col min="28" max="16384" width="9.28515625" style="34"/>
  </cols>
  <sheetData>
    <row r="1" spans="1:28" s="33" customFormat="1" ht="15.75">
      <c r="A1" s="326" t="s">
        <v>68</v>
      </c>
      <c r="B1" s="327"/>
      <c r="C1" s="327"/>
      <c r="D1" s="327"/>
      <c r="E1" s="327"/>
      <c r="F1" s="327"/>
      <c r="G1" s="327"/>
      <c r="H1" s="327"/>
      <c r="I1" s="327"/>
      <c r="J1" s="327"/>
      <c r="O1" s="32"/>
      <c r="P1" s="316" t="s">
        <v>0</v>
      </c>
      <c r="Q1" s="316"/>
      <c r="R1" s="316"/>
      <c r="S1" s="316"/>
      <c r="T1" s="316"/>
      <c r="U1" s="316"/>
      <c r="V1" s="316"/>
      <c r="W1" s="316"/>
      <c r="X1" s="316"/>
      <c r="Y1" s="316"/>
      <c r="Z1" s="316"/>
    </row>
    <row r="2" spans="1:28" s="33" customFormat="1" ht="15.75">
      <c r="A2" s="110" t="s">
        <v>69</v>
      </c>
      <c r="B2" s="110"/>
      <c r="C2" s="110"/>
      <c r="D2" s="111"/>
      <c r="E2" s="110"/>
      <c r="F2" s="110"/>
      <c r="G2" s="110"/>
      <c r="H2" s="110"/>
      <c r="I2" s="110"/>
      <c r="J2" s="110"/>
      <c r="K2" s="34"/>
      <c r="L2" s="34"/>
      <c r="M2" s="34"/>
      <c r="N2" s="34"/>
      <c r="O2" s="35"/>
      <c r="P2" s="316" t="s">
        <v>1</v>
      </c>
      <c r="Q2" s="316"/>
      <c r="R2" s="316"/>
      <c r="S2" s="316"/>
      <c r="T2" s="316"/>
      <c r="U2" s="316"/>
      <c r="V2" s="316"/>
      <c r="W2" s="316"/>
      <c r="X2" s="316"/>
      <c r="Y2" s="316"/>
      <c r="Z2" s="316"/>
    </row>
    <row r="3" spans="1:28" s="33" customFormat="1" ht="29.25" customHeight="1">
      <c r="A3" s="321" t="s">
        <v>3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</row>
    <row r="4" spans="1:28" s="33" customFormat="1" ht="32.25" customHeight="1">
      <c r="A4" s="321" t="s">
        <v>71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316"/>
    </row>
    <row r="5" spans="1:28" s="33" customFormat="1" ht="15.75">
      <c r="A5" s="315" t="s">
        <v>35</v>
      </c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  <c r="W5" s="315"/>
      <c r="X5" s="315"/>
      <c r="Y5" s="315"/>
      <c r="Z5" s="315"/>
    </row>
    <row r="6" spans="1:28" s="33" customFormat="1" ht="15.75">
      <c r="A6" s="316" t="s">
        <v>31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  <c r="Y6" s="316"/>
      <c r="Z6" s="316"/>
    </row>
    <row r="7" spans="1:28" ht="12" hidden="1" customHeight="1">
      <c r="V7" s="317" t="s">
        <v>2</v>
      </c>
      <c r="W7" s="317"/>
      <c r="X7" s="317"/>
      <c r="Y7" s="317"/>
      <c r="Z7" s="317"/>
    </row>
    <row r="8" spans="1:28" s="37" customFormat="1" ht="50.25" customHeight="1">
      <c r="A8" s="318" t="s">
        <v>4</v>
      </c>
      <c r="B8" s="318" t="s">
        <v>27</v>
      </c>
      <c r="C8" s="318" t="s">
        <v>28</v>
      </c>
      <c r="D8" s="307" t="s">
        <v>5</v>
      </c>
      <c r="E8" s="312" t="s">
        <v>6</v>
      </c>
      <c r="F8" s="312"/>
      <c r="G8" s="312" t="s">
        <v>7</v>
      </c>
      <c r="H8" s="312"/>
      <c r="I8" s="312"/>
      <c r="J8" s="307" t="s">
        <v>13</v>
      </c>
      <c r="K8" s="307" t="s">
        <v>14</v>
      </c>
      <c r="L8" s="68"/>
      <c r="M8" s="68"/>
      <c r="N8" s="309" t="s">
        <v>15</v>
      </c>
      <c r="O8" s="310"/>
      <c r="P8" s="311"/>
      <c r="Q8" s="307" t="s">
        <v>67</v>
      </c>
      <c r="R8" s="312" t="s">
        <v>19</v>
      </c>
      <c r="S8" s="312"/>
      <c r="T8" s="312"/>
      <c r="U8" s="324" t="s">
        <v>22</v>
      </c>
      <c r="V8" s="325"/>
      <c r="W8" s="313" t="s">
        <v>23</v>
      </c>
      <c r="X8" s="314"/>
      <c r="Y8" s="307" t="s">
        <v>25</v>
      </c>
      <c r="Z8" s="307" t="s">
        <v>26</v>
      </c>
      <c r="AA8" s="122"/>
    </row>
    <row r="9" spans="1:28" s="37" customFormat="1" ht="64.5" customHeight="1">
      <c r="A9" s="319"/>
      <c r="B9" s="320"/>
      <c r="C9" s="320"/>
      <c r="D9" s="308"/>
      <c r="E9" s="67" t="s">
        <v>8</v>
      </c>
      <c r="F9" s="67" t="s">
        <v>9</v>
      </c>
      <c r="G9" s="67" t="s">
        <v>10</v>
      </c>
      <c r="H9" s="67" t="s">
        <v>11</v>
      </c>
      <c r="I9" s="67" t="s">
        <v>12</v>
      </c>
      <c r="J9" s="308"/>
      <c r="K9" s="308"/>
      <c r="L9" s="66"/>
      <c r="M9" s="66"/>
      <c r="N9" s="67" t="s">
        <v>16</v>
      </c>
      <c r="O9" s="67" t="s">
        <v>11</v>
      </c>
      <c r="P9" s="67" t="s">
        <v>17</v>
      </c>
      <c r="Q9" s="308"/>
      <c r="R9" s="67" t="s">
        <v>16</v>
      </c>
      <c r="S9" s="67" t="s">
        <v>11</v>
      </c>
      <c r="T9" s="67" t="s">
        <v>12</v>
      </c>
      <c r="U9" s="67" t="s">
        <v>11</v>
      </c>
      <c r="V9" s="67" t="s">
        <v>12</v>
      </c>
      <c r="W9" s="38" t="s">
        <v>24</v>
      </c>
      <c r="X9" s="67" t="s">
        <v>12</v>
      </c>
      <c r="Y9" s="308"/>
      <c r="Z9" s="308"/>
    </row>
    <row r="10" spans="1:28" s="37" customFormat="1" ht="22.5" customHeight="1">
      <c r="A10" s="39"/>
      <c r="B10" s="39"/>
      <c r="C10" s="39"/>
      <c r="D10" s="40"/>
      <c r="E10" s="41">
        <v>3000</v>
      </c>
      <c r="F10" s="41">
        <v>25000000</v>
      </c>
      <c r="G10" s="41">
        <f>D42-E10</f>
        <v>3207</v>
      </c>
      <c r="H10" s="41">
        <v>6500</v>
      </c>
      <c r="I10" s="41">
        <f>G10*H10</f>
        <v>20845500</v>
      </c>
      <c r="J10" s="116"/>
      <c r="K10" s="116"/>
      <c r="L10" s="41"/>
      <c r="M10" s="41"/>
      <c r="N10" s="40">
        <v>1</v>
      </c>
      <c r="O10" s="117"/>
      <c r="P10" s="41"/>
      <c r="Q10" s="41">
        <v>0</v>
      </c>
      <c r="R10" s="41"/>
      <c r="S10" s="41"/>
      <c r="T10" s="40"/>
      <c r="U10" s="41">
        <v>0</v>
      </c>
      <c r="V10" s="41">
        <f>T10*U10</f>
        <v>0</v>
      </c>
      <c r="W10" s="43"/>
      <c r="X10" s="41"/>
      <c r="Y10" s="41"/>
      <c r="Z10" s="44">
        <f>F10+I10+P10+Q10+S10+V10+X10+Y10</f>
        <v>45845500</v>
      </c>
    </row>
    <row r="11" spans="1:28" s="15" customFormat="1" ht="22.5" customHeight="1">
      <c r="A11" s="127">
        <v>44866</v>
      </c>
      <c r="B11" s="109">
        <v>67125</v>
      </c>
      <c r="C11" s="113">
        <v>67608</v>
      </c>
      <c r="D11" s="113">
        <f t="shared" ref="D11:D39" si="0">C11-B11</f>
        <v>483</v>
      </c>
      <c r="E11" s="106"/>
      <c r="F11" s="106"/>
      <c r="G11" s="106"/>
      <c r="H11" s="106"/>
      <c r="I11" s="106"/>
      <c r="J11" s="116">
        <v>0.3125</v>
      </c>
      <c r="K11" s="128" t="s">
        <v>72</v>
      </c>
      <c r="L11" s="107">
        <f t="shared" ref="L11:L41" si="1">IF(("7:00"-J11)&lt;=0,0,("7:00"-J11))</f>
        <v>0</v>
      </c>
      <c r="M11" s="107">
        <f t="shared" ref="M11:M40" si="2">IF((K11-"18:00")&lt;=0,0,(K11-"18:00"))</f>
        <v>0.10416666666666663</v>
      </c>
      <c r="N11" s="104">
        <v>1</v>
      </c>
      <c r="O11" s="105">
        <v>100000</v>
      </c>
      <c r="P11" s="118">
        <f>N11*O11</f>
        <v>100000</v>
      </c>
      <c r="Q11" s="20"/>
      <c r="R11" s="20"/>
      <c r="S11" s="20"/>
      <c r="T11" s="26"/>
      <c r="U11" s="20"/>
      <c r="V11" s="20"/>
      <c r="W11" s="27"/>
      <c r="X11" s="25">
        <f>W11*50000</f>
        <v>0</v>
      </c>
      <c r="Y11" s="25">
        <f>444000+50000</f>
        <v>494000</v>
      </c>
      <c r="Z11" s="28">
        <f t="shared" ref="Z11:Z39" si="3">SUM(I11+P11+Q11+V11+X11+Y11+T11)</f>
        <v>594000</v>
      </c>
      <c r="AB11" s="16"/>
    </row>
    <row r="12" spans="1:28" s="1" customFormat="1" ht="22.5" customHeight="1">
      <c r="A12" s="127">
        <v>44867</v>
      </c>
      <c r="B12" s="109">
        <v>67612</v>
      </c>
      <c r="C12" s="113">
        <v>67747</v>
      </c>
      <c r="D12" s="113">
        <f t="shared" si="0"/>
        <v>135</v>
      </c>
      <c r="E12" s="106"/>
      <c r="F12" s="106"/>
      <c r="G12" s="106"/>
      <c r="H12" s="106"/>
      <c r="I12" s="106"/>
      <c r="J12" s="116">
        <v>0.3125</v>
      </c>
      <c r="K12" s="72">
        <v>0.9375</v>
      </c>
      <c r="L12" s="107">
        <f t="shared" si="1"/>
        <v>0</v>
      </c>
      <c r="M12" s="107">
        <f t="shared" si="2"/>
        <v>0.1875</v>
      </c>
      <c r="N12" s="104">
        <v>1</v>
      </c>
      <c r="O12" s="105">
        <f>25000+100000</f>
        <v>125000</v>
      </c>
      <c r="P12" s="118">
        <f t="shared" ref="P12:P40" si="4">N12*O12</f>
        <v>125000</v>
      </c>
      <c r="Q12" s="20"/>
      <c r="R12" s="20"/>
      <c r="S12" s="20"/>
      <c r="T12" s="26"/>
      <c r="U12" s="20"/>
      <c r="V12" s="20"/>
      <c r="W12" s="27"/>
      <c r="X12" s="25">
        <f>W12*50000</f>
        <v>0</v>
      </c>
      <c r="Y12" s="25"/>
      <c r="Z12" s="28">
        <f t="shared" si="3"/>
        <v>125000</v>
      </c>
      <c r="AB12" s="2"/>
    </row>
    <row r="13" spans="1:28" s="1" customFormat="1" ht="22.5" customHeight="1">
      <c r="A13" s="127">
        <v>44868</v>
      </c>
      <c r="B13" s="109">
        <v>67751</v>
      </c>
      <c r="C13" s="113">
        <v>68061</v>
      </c>
      <c r="D13" s="113">
        <f t="shared" si="0"/>
        <v>310</v>
      </c>
      <c r="E13" s="106"/>
      <c r="F13" s="106"/>
      <c r="G13" s="106"/>
      <c r="H13" s="106"/>
      <c r="I13" s="106"/>
      <c r="J13" s="116">
        <v>0.3125</v>
      </c>
      <c r="K13" s="116">
        <v>0.85416666666666663</v>
      </c>
      <c r="L13" s="77">
        <f t="shared" si="1"/>
        <v>0</v>
      </c>
      <c r="M13" s="77">
        <f t="shared" si="2"/>
        <v>0.10416666666666663</v>
      </c>
      <c r="N13" s="104">
        <v>1</v>
      </c>
      <c r="O13" s="105">
        <v>100000</v>
      </c>
      <c r="P13" s="118">
        <f t="shared" si="4"/>
        <v>100000</v>
      </c>
      <c r="Q13" s="20"/>
      <c r="R13" s="20"/>
      <c r="S13" s="20"/>
      <c r="T13" s="26"/>
      <c r="U13" s="20"/>
      <c r="V13" s="20"/>
      <c r="W13" s="27"/>
      <c r="X13" s="25">
        <f t="shared" ref="X13:X18" si="5">W13*50000</f>
        <v>0</v>
      </c>
      <c r="Y13" s="25">
        <v>100000</v>
      </c>
      <c r="Z13" s="28">
        <f t="shared" si="3"/>
        <v>200000</v>
      </c>
      <c r="AB13" s="2"/>
    </row>
    <row r="14" spans="1:28" s="1" customFormat="1" ht="22.5" customHeight="1">
      <c r="A14" s="127">
        <v>44869</v>
      </c>
      <c r="B14" s="109">
        <v>68064</v>
      </c>
      <c r="C14" s="113">
        <v>68480</v>
      </c>
      <c r="D14" s="113">
        <f t="shared" si="0"/>
        <v>416</v>
      </c>
      <c r="E14" s="106"/>
      <c r="F14" s="106"/>
      <c r="G14" s="106"/>
      <c r="H14" s="106"/>
      <c r="I14" s="106"/>
      <c r="J14" s="72">
        <v>0.27083333333333331</v>
      </c>
      <c r="K14" s="116">
        <v>0.85416666666666663</v>
      </c>
      <c r="L14" s="77">
        <f t="shared" si="1"/>
        <v>2.083333333333337E-2</v>
      </c>
      <c r="M14" s="77">
        <f t="shared" si="2"/>
        <v>0.10416666666666663</v>
      </c>
      <c r="N14" s="104">
        <v>1</v>
      </c>
      <c r="O14" s="105">
        <f>25000+100000</f>
        <v>125000</v>
      </c>
      <c r="P14" s="118">
        <f t="shared" si="4"/>
        <v>125000</v>
      </c>
      <c r="Q14" s="20"/>
      <c r="R14" s="20"/>
      <c r="S14" s="20"/>
      <c r="T14" s="29"/>
      <c r="U14" s="20"/>
      <c r="V14" s="20"/>
      <c r="W14" s="27">
        <v>1</v>
      </c>
      <c r="X14" s="25">
        <f t="shared" si="5"/>
        <v>50000</v>
      </c>
      <c r="Y14" s="25">
        <f>266000+50000</f>
        <v>316000</v>
      </c>
      <c r="Z14" s="28">
        <f t="shared" si="3"/>
        <v>491000</v>
      </c>
      <c r="AB14" s="2"/>
    </row>
    <row r="15" spans="1:28" s="1" customFormat="1" ht="22.5" customHeight="1">
      <c r="A15" s="127">
        <v>44870</v>
      </c>
      <c r="B15" s="109">
        <v>68485</v>
      </c>
      <c r="C15" s="113">
        <v>68584</v>
      </c>
      <c r="D15" s="113">
        <f t="shared" si="0"/>
        <v>99</v>
      </c>
      <c r="E15" s="106"/>
      <c r="F15" s="106"/>
      <c r="G15" s="106"/>
      <c r="H15" s="106"/>
      <c r="I15" s="106"/>
      <c r="J15" s="116">
        <v>0.3125</v>
      </c>
      <c r="K15" s="116">
        <v>0.77083333333333337</v>
      </c>
      <c r="L15" s="77">
        <f t="shared" si="1"/>
        <v>0</v>
      </c>
      <c r="M15" s="77">
        <f t="shared" si="2"/>
        <v>2.083333333333337E-2</v>
      </c>
      <c r="N15" s="104">
        <v>1</v>
      </c>
      <c r="O15" s="105">
        <v>100000</v>
      </c>
      <c r="P15" s="118">
        <f t="shared" si="4"/>
        <v>100000</v>
      </c>
      <c r="Q15" s="20"/>
      <c r="R15" s="20"/>
      <c r="S15" s="20"/>
      <c r="T15" s="26"/>
      <c r="U15" s="20"/>
      <c r="V15" s="20"/>
      <c r="W15" s="27"/>
      <c r="X15" s="25">
        <f t="shared" si="5"/>
        <v>0</v>
      </c>
      <c r="Y15" s="25"/>
      <c r="Z15" s="28">
        <f t="shared" si="3"/>
        <v>100000</v>
      </c>
      <c r="AB15" s="2"/>
    </row>
    <row r="16" spans="1:28" s="1" customFormat="1" ht="22.5" customHeight="1">
      <c r="A16" s="127">
        <v>44871</v>
      </c>
      <c r="B16" s="109">
        <v>0</v>
      </c>
      <c r="C16" s="113">
        <v>0</v>
      </c>
      <c r="D16" s="113">
        <f t="shared" si="0"/>
        <v>0</v>
      </c>
      <c r="E16" s="106"/>
      <c r="F16" s="106"/>
      <c r="G16" s="106"/>
      <c r="H16" s="106"/>
      <c r="I16" s="106"/>
      <c r="J16" s="72">
        <v>0</v>
      </c>
      <c r="K16" s="72">
        <v>0</v>
      </c>
      <c r="L16" s="77">
        <f t="shared" si="1"/>
        <v>0.29166666666666669</v>
      </c>
      <c r="M16" s="77">
        <f t="shared" si="2"/>
        <v>0</v>
      </c>
      <c r="N16" s="104">
        <v>0</v>
      </c>
      <c r="O16" s="105">
        <v>100000</v>
      </c>
      <c r="P16" s="118">
        <f t="shared" si="4"/>
        <v>0</v>
      </c>
      <c r="Q16" s="20"/>
      <c r="R16" s="20"/>
      <c r="S16" s="20"/>
      <c r="T16" s="29"/>
      <c r="U16" s="20"/>
      <c r="V16" s="20"/>
      <c r="W16" s="27"/>
      <c r="X16" s="25">
        <f t="shared" si="5"/>
        <v>0</v>
      </c>
      <c r="Y16" s="25"/>
      <c r="Z16" s="28">
        <f t="shared" si="3"/>
        <v>0</v>
      </c>
      <c r="AB16" s="2"/>
    </row>
    <row r="17" spans="1:28" s="1" customFormat="1" ht="22.5" customHeight="1">
      <c r="A17" s="127">
        <v>44872</v>
      </c>
      <c r="B17" s="109">
        <v>68615</v>
      </c>
      <c r="C17" s="113">
        <v>68779</v>
      </c>
      <c r="D17" s="113">
        <f t="shared" si="0"/>
        <v>164</v>
      </c>
      <c r="E17" s="106"/>
      <c r="F17" s="106"/>
      <c r="G17" s="106"/>
      <c r="H17" s="106"/>
      <c r="I17" s="106"/>
      <c r="J17" s="116">
        <v>0.3125</v>
      </c>
      <c r="K17" s="116">
        <v>0.85416666666666663</v>
      </c>
      <c r="L17" s="77">
        <f t="shared" si="1"/>
        <v>0</v>
      </c>
      <c r="M17" s="77">
        <f t="shared" si="2"/>
        <v>0.10416666666666663</v>
      </c>
      <c r="N17" s="104">
        <v>1</v>
      </c>
      <c r="O17" s="105">
        <v>100000</v>
      </c>
      <c r="P17" s="118">
        <f t="shared" si="4"/>
        <v>100000</v>
      </c>
      <c r="Q17" s="20"/>
      <c r="R17" s="20"/>
      <c r="S17" s="20"/>
      <c r="T17" s="26"/>
      <c r="U17" s="20"/>
      <c r="V17" s="20"/>
      <c r="W17" s="27"/>
      <c r="X17" s="25">
        <f>W17*50000</f>
        <v>0</v>
      </c>
      <c r="Y17" s="25"/>
      <c r="Z17" s="28">
        <f t="shared" si="3"/>
        <v>100000</v>
      </c>
      <c r="AB17" s="2"/>
    </row>
    <row r="18" spans="1:28" s="15" customFormat="1" ht="22.5" customHeight="1">
      <c r="A18" s="127">
        <v>44873</v>
      </c>
      <c r="B18" s="109">
        <v>68784</v>
      </c>
      <c r="C18" s="113">
        <v>68917</v>
      </c>
      <c r="D18" s="113">
        <f t="shared" si="0"/>
        <v>133</v>
      </c>
      <c r="E18" s="106"/>
      <c r="F18" s="106"/>
      <c r="G18" s="106"/>
      <c r="H18" s="106"/>
      <c r="I18" s="106"/>
      <c r="J18" s="116">
        <v>0.3125</v>
      </c>
      <c r="K18" s="116">
        <v>0.85416666666666663</v>
      </c>
      <c r="L18" s="77">
        <f t="shared" si="1"/>
        <v>0</v>
      </c>
      <c r="M18" s="77">
        <f t="shared" si="2"/>
        <v>0.10416666666666663</v>
      </c>
      <c r="N18" s="104">
        <v>1</v>
      </c>
      <c r="O18" s="105">
        <v>100000</v>
      </c>
      <c r="P18" s="118">
        <f>N18*O18</f>
        <v>100000</v>
      </c>
      <c r="Q18" s="20"/>
      <c r="R18" s="20"/>
      <c r="S18" s="20"/>
      <c r="T18" s="29"/>
      <c r="U18" s="20"/>
      <c r="V18" s="20"/>
      <c r="W18" s="27"/>
      <c r="X18" s="25">
        <f t="shared" si="5"/>
        <v>0</v>
      </c>
      <c r="Y18" s="25"/>
      <c r="Z18" s="28">
        <f t="shared" si="3"/>
        <v>100000</v>
      </c>
      <c r="AB18" s="16"/>
    </row>
    <row r="19" spans="1:28" s="1" customFormat="1" ht="22.5" customHeight="1">
      <c r="A19" s="127">
        <v>44874</v>
      </c>
      <c r="B19" s="109">
        <v>68922</v>
      </c>
      <c r="C19" s="113">
        <v>69049</v>
      </c>
      <c r="D19" s="113">
        <f t="shared" si="0"/>
        <v>127</v>
      </c>
      <c r="E19" s="106"/>
      <c r="F19" s="106"/>
      <c r="G19" s="106"/>
      <c r="H19" s="106"/>
      <c r="I19" s="106"/>
      <c r="J19" s="116">
        <v>0.3125</v>
      </c>
      <c r="K19" s="116">
        <v>0.85416666666666663</v>
      </c>
      <c r="L19" s="77">
        <f t="shared" si="1"/>
        <v>0</v>
      </c>
      <c r="M19" s="77">
        <f t="shared" si="2"/>
        <v>0.10416666666666663</v>
      </c>
      <c r="N19" s="104">
        <v>1</v>
      </c>
      <c r="O19" s="105">
        <v>100000</v>
      </c>
      <c r="P19" s="118">
        <f t="shared" si="4"/>
        <v>100000</v>
      </c>
      <c r="Q19" s="20"/>
      <c r="R19" s="20"/>
      <c r="S19" s="20"/>
      <c r="T19" s="29"/>
      <c r="U19" s="20"/>
      <c r="V19" s="20"/>
      <c r="W19" s="27"/>
      <c r="X19" s="25">
        <f>W19*50000</f>
        <v>0</v>
      </c>
      <c r="Y19" s="25"/>
      <c r="Z19" s="28">
        <f t="shared" si="3"/>
        <v>100000</v>
      </c>
      <c r="AB19" s="2"/>
    </row>
    <row r="20" spans="1:28" s="15" customFormat="1" ht="22.5" customHeight="1">
      <c r="A20" s="127">
        <v>44875</v>
      </c>
      <c r="B20" s="109">
        <v>69054</v>
      </c>
      <c r="C20" s="113">
        <v>69206</v>
      </c>
      <c r="D20" s="113">
        <f t="shared" si="0"/>
        <v>152</v>
      </c>
      <c r="E20" s="108"/>
      <c r="F20" s="108"/>
      <c r="G20" s="108"/>
      <c r="H20" s="108"/>
      <c r="I20" s="108"/>
      <c r="J20" s="116">
        <v>0.3125</v>
      </c>
      <c r="K20" s="116">
        <v>0.85416666666666663</v>
      </c>
      <c r="L20" s="107">
        <f t="shared" si="1"/>
        <v>0</v>
      </c>
      <c r="M20" s="107">
        <f t="shared" si="2"/>
        <v>0.10416666666666663</v>
      </c>
      <c r="N20" s="104">
        <v>1</v>
      </c>
      <c r="O20" s="105">
        <v>100000</v>
      </c>
      <c r="P20" s="118">
        <f t="shared" si="4"/>
        <v>100000</v>
      </c>
      <c r="Q20" s="20"/>
      <c r="R20" s="20"/>
      <c r="S20" s="20"/>
      <c r="T20" s="29"/>
      <c r="U20" s="20"/>
      <c r="V20" s="20"/>
      <c r="W20" s="27"/>
      <c r="X20" s="25">
        <f t="shared" ref="X20:X40" si="6">W20*50000</f>
        <v>0</v>
      </c>
      <c r="Y20" s="25"/>
      <c r="Z20" s="28">
        <f t="shared" si="3"/>
        <v>100000</v>
      </c>
      <c r="AB20" s="16"/>
    </row>
    <row r="21" spans="1:28" s="1" customFormat="1" ht="22.5" customHeight="1">
      <c r="A21" s="127">
        <v>44876</v>
      </c>
      <c r="B21" s="109">
        <v>69210</v>
      </c>
      <c r="C21" s="113">
        <v>69343</v>
      </c>
      <c r="D21" s="113">
        <f t="shared" si="0"/>
        <v>133</v>
      </c>
      <c r="E21" s="106"/>
      <c r="F21" s="106"/>
      <c r="G21" s="106"/>
      <c r="H21" s="106"/>
      <c r="I21" s="106"/>
      <c r="J21" s="116">
        <v>0.3125</v>
      </c>
      <c r="K21" s="116">
        <v>0.89583333333333337</v>
      </c>
      <c r="L21" s="77">
        <f t="shared" si="1"/>
        <v>0</v>
      </c>
      <c r="M21" s="77">
        <f t="shared" si="2"/>
        <v>0.14583333333333337</v>
      </c>
      <c r="N21" s="104">
        <v>1</v>
      </c>
      <c r="O21" s="105">
        <v>100000</v>
      </c>
      <c r="P21" s="118">
        <f t="shared" si="4"/>
        <v>100000</v>
      </c>
      <c r="Q21" s="20"/>
      <c r="R21" s="20"/>
      <c r="S21" s="20"/>
      <c r="T21" s="29"/>
      <c r="U21" s="20"/>
      <c r="V21" s="20"/>
      <c r="W21" s="27"/>
      <c r="X21" s="25">
        <f>W21*50000</f>
        <v>0</v>
      </c>
      <c r="Y21" s="25"/>
      <c r="Z21" s="28">
        <f t="shared" si="3"/>
        <v>100000</v>
      </c>
      <c r="AB21" s="2"/>
    </row>
    <row r="22" spans="1:28" s="1" customFormat="1" ht="22.5" customHeight="1">
      <c r="A22" s="127">
        <v>44877</v>
      </c>
      <c r="B22" s="109">
        <v>69347</v>
      </c>
      <c r="C22" s="113">
        <v>69508</v>
      </c>
      <c r="D22" s="113">
        <f t="shared" si="0"/>
        <v>161</v>
      </c>
      <c r="E22" s="106"/>
      <c r="F22" s="106"/>
      <c r="G22" s="106"/>
      <c r="H22" s="106"/>
      <c r="I22" s="106"/>
      <c r="J22" s="116">
        <v>0.3125</v>
      </c>
      <c r="K22" s="72">
        <v>0.97916666666666663</v>
      </c>
      <c r="L22" s="77">
        <f t="shared" si="1"/>
        <v>0</v>
      </c>
      <c r="M22" s="77">
        <f t="shared" si="2"/>
        <v>0.22916666666666663</v>
      </c>
      <c r="N22" s="104">
        <v>1</v>
      </c>
      <c r="O22" s="105">
        <f>75000+100000</f>
        <v>175000</v>
      </c>
      <c r="P22" s="118">
        <f t="shared" si="4"/>
        <v>175000</v>
      </c>
      <c r="Q22" s="20"/>
      <c r="R22" s="20"/>
      <c r="S22" s="20"/>
      <c r="T22" s="26"/>
      <c r="U22" s="20"/>
      <c r="V22" s="20"/>
      <c r="W22" s="27"/>
      <c r="X22" s="25">
        <f t="shared" si="6"/>
        <v>0</v>
      </c>
      <c r="Y22" s="25"/>
      <c r="Z22" s="28">
        <f t="shared" si="3"/>
        <v>175000</v>
      </c>
      <c r="AB22" s="2"/>
    </row>
    <row r="23" spans="1:28" s="1" customFormat="1" ht="22.5" customHeight="1">
      <c r="A23" s="127">
        <v>44878</v>
      </c>
      <c r="B23" s="109">
        <v>0</v>
      </c>
      <c r="C23" s="113">
        <v>0</v>
      </c>
      <c r="D23" s="113">
        <f t="shared" si="0"/>
        <v>0</v>
      </c>
      <c r="E23" s="106"/>
      <c r="F23" s="106"/>
      <c r="G23" s="106"/>
      <c r="H23" s="106"/>
      <c r="I23" s="106"/>
      <c r="J23" s="72">
        <v>0</v>
      </c>
      <c r="K23" s="72">
        <v>0</v>
      </c>
      <c r="L23" s="77">
        <f t="shared" si="1"/>
        <v>0.29166666666666669</v>
      </c>
      <c r="M23" s="77">
        <f t="shared" si="2"/>
        <v>0</v>
      </c>
      <c r="N23" s="104">
        <v>0</v>
      </c>
      <c r="O23" s="105">
        <v>100000</v>
      </c>
      <c r="P23" s="118">
        <f t="shared" si="4"/>
        <v>0</v>
      </c>
      <c r="Q23" s="20"/>
      <c r="R23" s="20"/>
      <c r="S23" s="20"/>
      <c r="T23" s="26"/>
      <c r="U23" s="20"/>
      <c r="V23" s="20"/>
      <c r="W23" s="27"/>
      <c r="X23" s="25">
        <f t="shared" si="6"/>
        <v>0</v>
      </c>
      <c r="Y23" s="25"/>
      <c r="Z23" s="28">
        <f t="shared" si="3"/>
        <v>0</v>
      </c>
      <c r="AB23" s="2"/>
    </row>
    <row r="24" spans="1:28" s="1" customFormat="1" ht="22.5" customHeight="1">
      <c r="A24" s="127">
        <v>44879</v>
      </c>
      <c r="B24" s="109">
        <v>69522</v>
      </c>
      <c r="C24" s="113">
        <v>69646</v>
      </c>
      <c r="D24" s="113">
        <f t="shared" si="0"/>
        <v>124</v>
      </c>
      <c r="E24" s="106"/>
      <c r="F24" s="106"/>
      <c r="G24" s="106"/>
      <c r="H24" s="106"/>
      <c r="I24" s="106"/>
      <c r="J24" s="116">
        <v>0.3125</v>
      </c>
      <c r="K24" s="116">
        <v>0.85416666666666663</v>
      </c>
      <c r="L24" s="77">
        <f t="shared" si="1"/>
        <v>0</v>
      </c>
      <c r="M24" s="77">
        <f t="shared" si="2"/>
        <v>0.10416666666666663</v>
      </c>
      <c r="N24" s="104">
        <v>1</v>
      </c>
      <c r="O24" s="105">
        <v>100000</v>
      </c>
      <c r="P24" s="118">
        <f t="shared" si="4"/>
        <v>100000</v>
      </c>
      <c r="Q24" s="20"/>
      <c r="R24" s="20"/>
      <c r="S24" s="20"/>
      <c r="T24" s="26"/>
      <c r="U24" s="20"/>
      <c r="V24" s="20"/>
      <c r="W24" s="27"/>
      <c r="X24" s="25">
        <f t="shared" si="6"/>
        <v>0</v>
      </c>
      <c r="Y24" s="25"/>
      <c r="Z24" s="28">
        <f t="shared" si="3"/>
        <v>100000</v>
      </c>
      <c r="AB24" s="2"/>
    </row>
    <row r="25" spans="1:28" s="15" customFormat="1" ht="22.5" customHeight="1">
      <c r="A25" s="127">
        <v>44880</v>
      </c>
      <c r="B25" s="109">
        <v>69650</v>
      </c>
      <c r="C25" s="113">
        <v>69861</v>
      </c>
      <c r="D25" s="113">
        <f t="shared" si="0"/>
        <v>211</v>
      </c>
      <c r="E25" s="106"/>
      <c r="F25" s="106"/>
      <c r="G25" s="106"/>
      <c r="H25" s="106"/>
      <c r="I25" s="106"/>
      <c r="J25" s="116">
        <v>0.3125</v>
      </c>
      <c r="K25" s="116">
        <v>0.85416666666666663</v>
      </c>
      <c r="L25" s="77">
        <f t="shared" si="1"/>
        <v>0</v>
      </c>
      <c r="M25" s="77">
        <f t="shared" si="2"/>
        <v>0.10416666666666663</v>
      </c>
      <c r="N25" s="104">
        <v>1</v>
      </c>
      <c r="O25" s="105">
        <v>100000</v>
      </c>
      <c r="P25" s="118">
        <f t="shared" si="4"/>
        <v>100000</v>
      </c>
      <c r="Q25" s="20"/>
      <c r="R25" s="20"/>
      <c r="S25" s="20"/>
      <c r="T25" s="26"/>
      <c r="U25" s="20"/>
      <c r="V25" s="20"/>
      <c r="W25" s="27"/>
      <c r="X25" s="25">
        <f t="shared" si="6"/>
        <v>0</v>
      </c>
      <c r="Y25" s="25"/>
      <c r="Z25" s="28">
        <f t="shared" si="3"/>
        <v>100000</v>
      </c>
      <c r="AB25" s="16"/>
    </row>
    <row r="26" spans="1:28" s="1" customFormat="1" ht="22.5" customHeight="1">
      <c r="A26" s="127">
        <v>44881</v>
      </c>
      <c r="B26" s="109">
        <v>69865</v>
      </c>
      <c r="C26" s="113">
        <v>70119</v>
      </c>
      <c r="D26" s="113">
        <f t="shared" si="0"/>
        <v>254</v>
      </c>
      <c r="E26" s="106"/>
      <c r="F26" s="106"/>
      <c r="G26" s="106"/>
      <c r="H26" s="106"/>
      <c r="I26" s="106"/>
      <c r="J26" s="116">
        <v>0.3125</v>
      </c>
      <c r="K26" s="116">
        <v>0.85416666666666663</v>
      </c>
      <c r="L26" s="77">
        <f t="shared" si="1"/>
        <v>0</v>
      </c>
      <c r="M26" s="77">
        <f t="shared" si="2"/>
        <v>0.10416666666666663</v>
      </c>
      <c r="N26" s="104">
        <v>1</v>
      </c>
      <c r="O26" s="105">
        <v>100000</v>
      </c>
      <c r="P26" s="118">
        <f t="shared" si="4"/>
        <v>100000</v>
      </c>
      <c r="Q26" s="20"/>
      <c r="R26" s="20"/>
      <c r="S26" s="20"/>
      <c r="T26" s="29"/>
      <c r="U26" s="20"/>
      <c r="V26" s="20"/>
      <c r="W26" s="27">
        <v>1</v>
      </c>
      <c r="X26" s="25">
        <f t="shared" si="6"/>
        <v>50000</v>
      </c>
      <c r="Y26" s="25">
        <v>17000</v>
      </c>
      <c r="Z26" s="28">
        <f t="shared" si="3"/>
        <v>167000</v>
      </c>
      <c r="AB26" s="2"/>
    </row>
    <row r="27" spans="1:28" s="15" customFormat="1" ht="22.5" customHeight="1">
      <c r="A27" s="127">
        <v>44882</v>
      </c>
      <c r="B27" s="109">
        <v>70123</v>
      </c>
      <c r="C27" s="113">
        <v>70341</v>
      </c>
      <c r="D27" s="113">
        <f t="shared" si="0"/>
        <v>218</v>
      </c>
      <c r="E27" s="108"/>
      <c r="F27" s="108"/>
      <c r="G27" s="108"/>
      <c r="H27" s="108"/>
      <c r="I27" s="108"/>
      <c r="J27" s="116">
        <v>0.3125</v>
      </c>
      <c r="K27" s="116">
        <v>0.85416666666666663</v>
      </c>
      <c r="L27" s="107">
        <f t="shared" si="1"/>
        <v>0</v>
      </c>
      <c r="M27" s="107">
        <f t="shared" si="2"/>
        <v>0.10416666666666663</v>
      </c>
      <c r="N27" s="104">
        <v>1</v>
      </c>
      <c r="O27" s="105">
        <v>100000</v>
      </c>
      <c r="P27" s="118">
        <f t="shared" si="4"/>
        <v>100000</v>
      </c>
      <c r="Q27" s="20"/>
      <c r="R27" s="20"/>
      <c r="S27" s="20"/>
      <c r="T27" s="26"/>
      <c r="U27" s="20"/>
      <c r="V27" s="20"/>
      <c r="W27" s="27"/>
      <c r="X27" s="25">
        <f t="shared" si="6"/>
        <v>0</v>
      </c>
      <c r="Y27" s="25"/>
      <c r="Z27" s="28">
        <f t="shared" si="3"/>
        <v>100000</v>
      </c>
      <c r="AB27" s="16"/>
    </row>
    <row r="28" spans="1:28" s="1" customFormat="1" ht="22.5" customHeight="1">
      <c r="A28" s="127">
        <v>44883</v>
      </c>
      <c r="B28" s="109">
        <v>70345</v>
      </c>
      <c r="C28" s="113">
        <v>70578</v>
      </c>
      <c r="D28" s="113">
        <f t="shared" si="0"/>
        <v>233</v>
      </c>
      <c r="E28" s="106"/>
      <c r="F28" s="106"/>
      <c r="G28" s="106"/>
      <c r="H28" s="106"/>
      <c r="I28" s="106"/>
      <c r="J28" s="116">
        <v>0.3125</v>
      </c>
      <c r="K28" s="116">
        <v>0.85416666666666663</v>
      </c>
      <c r="L28" s="77">
        <f t="shared" si="1"/>
        <v>0</v>
      </c>
      <c r="M28" s="77">
        <f t="shared" si="2"/>
        <v>0.10416666666666663</v>
      </c>
      <c r="N28" s="104">
        <v>1</v>
      </c>
      <c r="O28" s="105">
        <v>100000</v>
      </c>
      <c r="P28" s="118">
        <f t="shared" si="4"/>
        <v>100000</v>
      </c>
      <c r="Q28" s="20"/>
      <c r="R28" s="20"/>
      <c r="S28" s="20"/>
      <c r="T28" s="26"/>
      <c r="U28" s="20"/>
      <c r="V28" s="20"/>
      <c r="W28" s="27"/>
      <c r="X28" s="25">
        <f t="shared" si="6"/>
        <v>0</v>
      </c>
      <c r="Y28" s="25"/>
      <c r="Z28" s="28">
        <f t="shared" si="3"/>
        <v>100000</v>
      </c>
      <c r="AB28" s="2"/>
    </row>
    <row r="29" spans="1:28" s="1" customFormat="1" ht="22.5" customHeight="1">
      <c r="A29" s="127">
        <v>44884</v>
      </c>
      <c r="B29" s="109">
        <v>70582</v>
      </c>
      <c r="C29" s="113">
        <v>70701</v>
      </c>
      <c r="D29" s="113">
        <f t="shared" si="0"/>
        <v>119</v>
      </c>
      <c r="E29" s="106"/>
      <c r="F29" s="106"/>
      <c r="G29" s="106"/>
      <c r="H29" s="106"/>
      <c r="I29" s="106"/>
      <c r="J29" s="116">
        <v>0.3125</v>
      </c>
      <c r="K29" s="116">
        <v>0.85416666666666663</v>
      </c>
      <c r="L29" s="77">
        <f t="shared" si="1"/>
        <v>0</v>
      </c>
      <c r="M29" s="77">
        <f t="shared" si="2"/>
        <v>0.10416666666666663</v>
      </c>
      <c r="N29" s="104">
        <v>1</v>
      </c>
      <c r="O29" s="105">
        <v>100000</v>
      </c>
      <c r="P29" s="118">
        <f t="shared" si="4"/>
        <v>100000</v>
      </c>
      <c r="Q29" s="20"/>
      <c r="R29" s="20"/>
      <c r="S29" s="20"/>
      <c r="T29" s="26"/>
      <c r="U29" s="20"/>
      <c r="V29" s="20"/>
      <c r="W29" s="27"/>
      <c r="X29" s="25">
        <f t="shared" si="6"/>
        <v>0</v>
      </c>
      <c r="Y29" s="25"/>
      <c r="Z29" s="28">
        <f t="shared" si="3"/>
        <v>100000</v>
      </c>
      <c r="AB29" s="2"/>
    </row>
    <row r="30" spans="1:28" s="78" customFormat="1" ht="22.5" customHeight="1">
      <c r="A30" s="127">
        <v>44885</v>
      </c>
      <c r="B30" s="109">
        <v>0</v>
      </c>
      <c r="C30" s="113">
        <v>0</v>
      </c>
      <c r="D30" s="113">
        <f t="shared" si="0"/>
        <v>0</v>
      </c>
      <c r="E30" s="106"/>
      <c r="F30" s="106"/>
      <c r="G30" s="106"/>
      <c r="H30" s="106"/>
      <c r="I30" s="106"/>
      <c r="J30" s="72">
        <v>0</v>
      </c>
      <c r="K30" s="72">
        <v>0</v>
      </c>
      <c r="L30" s="77">
        <f t="shared" si="1"/>
        <v>0.29166666666666669</v>
      </c>
      <c r="M30" s="77">
        <f t="shared" si="2"/>
        <v>0</v>
      </c>
      <c r="N30" s="104">
        <v>0</v>
      </c>
      <c r="O30" s="105">
        <v>100000</v>
      </c>
      <c r="P30" s="118">
        <f t="shared" si="4"/>
        <v>0</v>
      </c>
      <c r="Q30" s="20"/>
      <c r="R30" s="20"/>
      <c r="S30" s="20"/>
      <c r="T30" s="26"/>
      <c r="U30" s="20"/>
      <c r="V30" s="20"/>
      <c r="W30" s="27"/>
      <c r="X30" s="25">
        <f t="shared" si="6"/>
        <v>0</v>
      </c>
      <c r="Y30" s="25"/>
      <c r="Z30" s="28">
        <f t="shared" si="3"/>
        <v>0</v>
      </c>
      <c r="AB30" s="79"/>
    </row>
    <row r="31" spans="1:28" s="30" customFormat="1" ht="22.5" customHeight="1">
      <c r="A31" s="127">
        <v>44886</v>
      </c>
      <c r="B31" s="109">
        <v>70725</v>
      </c>
      <c r="C31" s="113">
        <v>71124</v>
      </c>
      <c r="D31" s="113">
        <f t="shared" si="0"/>
        <v>399</v>
      </c>
      <c r="E31" s="106"/>
      <c r="F31" s="106"/>
      <c r="G31" s="106"/>
      <c r="H31" s="106"/>
      <c r="I31" s="106"/>
      <c r="J31" s="72">
        <v>0.20833333333333334</v>
      </c>
      <c r="K31" s="116">
        <v>0.85416666666666663</v>
      </c>
      <c r="L31" s="77">
        <f t="shared" si="1"/>
        <v>8.3333333333333343E-2</v>
      </c>
      <c r="M31" s="77">
        <f t="shared" si="2"/>
        <v>0.10416666666666663</v>
      </c>
      <c r="N31" s="104">
        <v>1</v>
      </c>
      <c r="O31" s="105">
        <v>200000</v>
      </c>
      <c r="P31" s="118">
        <f t="shared" si="4"/>
        <v>200000</v>
      </c>
      <c r="Q31" s="20"/>
      <c r="R31" s="20"/>
      <c r="S31" s="106"/>
      <c r="T31" s="26"/>
      <c r="U31" s="20"/>
      <c r="V31" s="20"/>
      <c r="W31" s="27"/>
      <c r="X31" s="25">
        <f t="shared" si="6"/>
        <v>0</v>
      </c>
      <c r="Y31" s="25">
        <v>444000</v>
      </c>
      <c r="Z31" s="28">
        <f t="shared" si="3"/>
        <v>644000</v>
      </c>
      <c r="AB31" s="31"/>
    </row>
    <row r="32" spans="1:28" s="15" customFormat="1" ht="22.5" customHeight="1">
      <c r="A32" s="127">
        <v>44887</v>
      </c>
      <c r="B32" s="109">
        <v>71128</v>
      </c>
      <c r="C32" s="113">
        <v>71236</v>
      </c>
      <c r="D32" s="113">
        <f t="shared" si="0"/>
        <v>108</v>
      </c>
      <c r="E32" s="106"/>
      <c r="F32" s="106"/>
      <c r="G32" s="106"/>
      <c r="H32" s="106"/>
      <c r="I32" s="106"/>
      <c r="J32" s="116">
        <v>0.3125</v>
      </c>
      <c r="K32" s="116">
        <v>0.89583333333333337</v>
      </c>
      <c r="L32" s="77">
        <f t="shared" si="1"/>
        <v>0</v>
      </c>
      <c r="M32" s="77">
        <f t="shared" si="2"/>
        <v>0.14583333333333337</v>
      </c>
      <c r="N32" s="104">
        <v>1</v>
      </c>
      <c r="O32" s="105">
        <v>100000</v>
      </c>
      <c r="P32" s="118">
        <f t="shared" si="4"/>
        <v>100000</v>
      </c>
      <c r="Q32" s="20"/>
      <c r="R32" s="20"/>
      <c r="S32" s="20"/>
      <c r="T32" s="26"/>
      <c r="U32" s="20"/>
      <c r="V32" s="20"/>
      <c r="W32" s="27"/>
      <c r="X32" s="25">
        <f t="shared" si="6"/>
        <v>0</v>
      </c>
      <c r="Y32" s="25"/>
      <c r="Z32" s="28">
        <f t="shared" si="3"/>
        <v>100000</v>
      </c>
      <c r="AB32" s="16"/>
    </row>
    <row r="33" spans="1:27" s="1" customFormat="1" ht="22.5" customHeight="1">
      <c r="A33" s="127">
        <v>44888</v>
      </c>
      <c r="B33" s="109">
        <v>71239</v>
      </c>
      <c r="C33" s="113">
        <v>71366</v>
      </c>
      <c r="D33" s="113">
        <f t="shared" si="0"/>
        <v>127</v>
      </c>
      <c r="E33" s="106"/>
      <c r="F33" s="106"/>
      <c r="G33" s="106"/>
      <c r="H33" s="106"/>
      <c r="I33" s="106"/>
      <c r="J33" s="116">
        <v>0.3125</v>
      </c>
      <c r="K33" s="116">
        <v>0.89583333333333337</v>
      </c>
      <c r="L33" s="77">
        <f t="shared" si="1"/>
        <v>0</v>
      </c>
      <c r="M33" s="77">
        <f t="shared" si="2"/>
        <v>0.14583333333333337</v>
      </c>
      <c r="N33" s="104">
        <v>1</v>
      </c>
      <c r="O33" s="105">
        <v>100000</v>
      </c>
      <c r="P33" s="118">
        <f t="shared" si="4"/>
        <v>100000</v>
      </c>
      <c r="Q33" s="20"/>
      <c r="R33" s="20"/>
      <c r="S33" s="20"/>
      <c r="T33" s="123"/>
      <c r="U33" s="20"/>
      <c r="V33" s="20"/>
      <c r="W33" s="27"/>
      <c r="X33" s="25">
        <f t="shared" si="6"/>
        <v>0</v>
      </c>
      <c r="Y33" s="25"/>
      <c r="Z33" s="28">
        <f t="shared" si="3"/>
        <v>100000</v>
      </c>
    </row>
    <row r="34" spans="1:27" s="15" customFormat="1" ht="22.5" customHeight="1">
      <c r="A34" s="127">
        <v>44889</v>
      </c>
      <c r="B34" s="109">
        <v>71370</v>
      </c>
      <c r="C34" s="113">
        <v>71479</v>
      </c>
      <c r="D34" s="113">
        <f t="shared" si="0"/>
        <v>109</v>
      </c>
      <c r="E34" s="108"/>
      <c r="F34" s="108"/>
      <c r="G34" s="108"/>
      <c r="H34" s="108"/>
      <c r="I34" s="108"/>
      <c r="J34" s="116">
        <v>0.3125</v>
      </c>
      <c r="K34" s="116">
        <v>0.89583333333333337</v>
      </c>
      <c r="L34" s="107"/>
      <c r="M34" s="107"/>
      <c r="N34" s="104">
        <v>1</v>
      </c>
      <c r="O34" s="105">
        <v>100000</v>
      </c>
      <c r="P34" s="118">
        <f t="shared" si="4"/>
        <v>100000</v>
      </c>
      <c r="Q34" s="20"/>
      <c r="R34" s="20"/>
      <c r="S34" s="20"/>
      <c r="T34" s="26"/>
      <c r="U34" s="20"/>
      <c r="V34" s="20"/>
      <c r="W34" s="27"/>
      <c r="X34" s="25">
        <f t="shared" si="6"/>
        <v>0</v>
      </c>
      <c r="Y34" s="25"/>
      <c r="Z34" s="28">
        <f t="shared" si="3"/>
        <v>100000</v>
      </c>
    </row>
    <row r="35" spans="1:27" s="1" customFormat="1" ht="22.5" customHeight="1">
      <c r="A35" s="127">
        <v>44890</v>
      </c>
      <c r="B35" s="109">
        <v>71483</v>
      </c>
      <c r="C35" s="113">
        <v>71894</v>
      </c>
      <c r="D35" s="113">
        <f t="shared" si="0"/>
        <v>411</v>
      </c>
      <c r="E35" s="106"/>
      <c r="F35" s="106"/>
      <c r="G35" s="106"/>
      <c r="H35" s="106"/>
      <c r="I35" s="106"/>
      <c r="J35" s="116">
        <v>0.3125</v>
      </c>
      <c r="K35" s="116">
        <v>0.89583333333333337</v>
      </c>
      <c r="L35" s="77">
        <f t="shared" si="1"/>
        <v>0</v>
      </c>
      <c r="M35" s="77">
        <f t="shared" si="2"/>
        <v>0.14583333333333337</v>
      </c>
      <c r="N35" s="104">
        <v>1</v>
      </c>
      <c r="O35" s="105">
        <v>100000</v>
      </c>
      <c r="P35" s="118">
        <f t="shared" si="4"/>
        <v>100000</v>
      </c>
      <c r="Q35" s="20"/>
      <c r="R35" s="20"/>
      <c r="S35" s="20"/>
      <c r="T35" s="26"/>
      <c r="U35" s="20"/>
      <c r="V35" s="20"/>
      <c r="W35" s="27">
        <v>1</v>
      </c>
      <c r="X35" s="25">
        <f t="shared" si="6"/>
        <v>50000</v>
      </c>
      <c r="Y35" s="25">
        <v>246000</v>
      </c>
      <c r="Z35" s="28">
        <f t="shared" si="3"/>
        <v>396000</v>
      </c>
    </row>
    <row r="36" spans="1:27" s="1" customFormat="1" ht="22.5" customHeight="1">
      <c r="A36" s="127">
        <v>44891</v>
      </c>
      <c r="B36" s="109">
        <v>71897</v>
      </c>
      <c r="C36" s="113">
        <v>72316</v>
      </c>
      <c r="D36" s="113">
        <f t="shared" si="0"/>
        <v>419</v>
      </c>
      <c r="E36" s="106"/>
      <c r="F36" s="106"/>
      <c r="G36" s="106"/>
      <c r="H36" s="106"/>
      <c r="I36" s="106"/>
      <c r="J36" s="116">
        <v>0.3125</v>
      </c>
      <c r="K36" s="116">
        <v>0.89583333333333337</v>
      </c>
      <c r="L36" s="77"/>
      <c r="M36" s="77"/>
      <c r="N36" s="104">
        <v>1</v>
      </c>
      <c r="O36" s="105">
        <v>100000</v>
      </c>
      <c r="P36" s="118">
        <f t="shared" si="4"/>
        <v>100000</v>
      </c>
      <c r="Q36" s="20"/>
      <c r="R36" s="20"/>
      <c r="S36" s="20"/>
      <c r="T36" s="26"/>
      <c r="U36" s="20"/>
      <c r="V36" s="20"/>
      <c r="W36" s="27">
        <v>1</v>
      </c>
      <c r="X36" s="25">
        <f t="shared" si="6"/>
        <v>50000</v>
      </c>
      <c r="Y36" s="25">
        <f>50000+21000+70000</f>
        <v>141000</v>
      </c>
      <c r="Z36" s="28">
        <f t="shared" si="3"/>
        <v>291000</v>
      </c>
    </row>
    <row r="37" spans="1:27" s="1" customFormat="1" ht="22.5" customHeight="1">
      <c r="A37" s="129">
        <v>44892</v>
      </c>
      <c r="B37" s="130">
        <v>72365</v>
      </c>
      <c r="C37" s="131">
        <v>72603</v>
      </c>
      <c r="D37" s="131">
        <f t="shared" si="0"/>
        <v>238</v>
      </c>
      <c r="E37" s="106"/>
      <c r="F37" s="106"/>
      <c r="G37" s="106"/>
      <c r="H37" s="106"/>
      <c r="I37" s="106"/>
      <c r="J37" s="72">
        <v>0.875</v>
      </c>
      <c r="K37" s="72">
        <v>0.10416666666666667</v>
      </c>
      <c r="L37" s="77">
        <f t="shared" si="1"/>
        <v>0</v>
      </c>
      <c r="M37" s="77">
        <f t="shared" si="2"/>
        <v>0</v>
      </c>
      <c r="N37" s="104">
        <v>1</v>
      </c>
      <c r="O37" s="105">
        <v>275000</v>
      </c>
      <c r="P37" s="118">
        <f t="shared" si="4"/>
        <v>275000</v>
      </c>
      <c r="Q37" s="20"/>
      <c r="R37" s="20"/>
      <c r="S37" s="20"/>
      <c r="T37" s="26"/>
      <c r="U37" s="20"/>
      <c r="V37" s="20"/>
      <c r="W37" s="27"/>
      <c r="X37" s="25">
        <f>W37*50000</f>
        <v>0</v>
      </c>
      <c r="Y37" s="25">
        <f>25000+70000</f>
        <v>95000</v>
      </c>
      <c r="Z37" s="28">
        <f t="shared" si="3"/>
        <v>370000</v>
      </c>
    </row>
    <row r="38" spans="1:27" s="1" customFormat="1" ht="22.5" customHeight="1">
      <c r="A38" s="127">
        <v>44893</v>
      </c>
      <c r="B38" s="109">
        <v>72608</v>
      </c>
      <c r="C38" s="113">
        <v>72791</v>
      </c>
      <c r="D38" s="113">
        <f t="shared" si="0"/>
        <v>183</v>
      </c>
      <c r="E38" s="106"/>
      <c r="F38" s="106"/>
      <c r="G38" s="106"/>
      <c r="H38" s="106"/>
      <c r="I38" s="106"/>
      <c r="J38" s="116">
        <v>0.3125</v>
      </c>
      <c r="K38" s="116">
        <v>0.89583333333333337</v>
      </c>
      <c r="L38" s="77">
        <f t="shared" si="1"/>
        <v>0</v>
      </c>
      <c r="M38" s="77">
        <f t="shared" si="2"/>
        <v>0.14583333333333337</v>
      </c>
      <c r="N38" s="104">
        <v>1</v>
      </c>
      <c r="O38" s="105">
        <v>100000</v>
      </c>
      <c r="P38" s="118">
        <f t="shared" si="4"/>
        <v>100000</v>
      </c>
      <c r="Q38" s="20"/>
      <c r="R38" s="20"/>
      <c r="S38" s="20"/>
      <c r="T38" s="26"/>
      <c r="U38" s="20"/>
      <c r="V38" s="20"/>
      <c r="W38" s="27"/>
      <c r="X38" s="25">
        <f t="shared" ref="X38" si="7">W38*50000</f>
        <v>0</v>
      </c>
      <c r="Y38" s="25"/>
      <c r="Z38" s="28">
        <f t="shared" si="3"/>
        <v>100000</v>
      </c>
    </row>
    <row r="39" spans="1:27" s="15" customFormat="1" ht="22.5" customHeight="1">
      <c r="A39" s="127">
        <v>44894</v>
      </c>
      <c r="B39" s="109">
        <v>72795</v>
      </c>
      <c r="C39" s="37">
        <v>73149</v>
      </c>
      <c r="D39" s="113">
        <f t="shared" si="0"/>
        <v>354</v>
      </c>
      <c r="E39" s="106"/>
      <c r="F39" s="106"/>
      <c r="G39" s="106"/>
      <c r="H39" s="106"/>
      <c r="I39" s="106"/>
      <c r="J39" s="116">
        <v>0.3125</v>
      </c>
      <c r="K39" s="116">
        <v>0.89583333333333337</v>
      </c>
      <c r="L39" s="77">
        <f t="shared" si="1"/>
        <v>0</v>
      </c>
      <c r="M39" s="77">
        <f t="shared" si="2"/>
        <v>0.14583333333333337</v>
      </c>
      <c r="N39" s="104">
        <v>1</v>
      </c>
      <c r="O39" s="105">
        <v>100000</v>
      </c>
      <c r="P39" s="118">
        <f t="shared" si="4"/>
        <v>100000</v>
      </c>
      <c r="Q39" s="20"/>
      <c r="R39" s="20"/>
      <c r="S39" s="20"/>
      <c r="T39" s="26"/>
      <c r="U39" s="20"/>
      <c r="V39" s="20"/>
      <c r="W39" s="27">
        <v>1</v>
      </c>
      <c r="X39" s="25">
        <f t="shared" si="6"/>
        <v>50000</v>
      </c>
      <c r="Y39" s="25">
        <f>70000+60000</f>
        <v>130000</v>
      </c>
      <c r="Z39" s="28">
        <f t="shared" si="3"/>
        <v>280000</v>
      </c>
    </row>
    <row r="40" spans="1:27" s="1" customFormat="1" ht="22.5" customHeight="1">
      <c r="A40" s="127">
        <v>44895</v>
      </c>
      <c r="B40" s="109">
        <v>73154</v>
      </c>
      <c r="C40" s="113">
        <f>B40+387</f>
        <v>73541</v>
      </c>
      <c r="D40" s="113">
        <f>C40-B40</f>
        <v>387</v>
      </c>
      <c r="E40" s="106"/>
      <c r="F40" s="106"/>
      <c r="G40" s="106"/>
      <c r="H40" s="106"/>
      <c r="I40" s="106"/>
      <c r="J40" s="72">
        <v>0.22916666666666666</v>
      </c>
      <c r="K40" s="116">
        <v>0.85416666666666663</v>
      </c>
      <c r="L40" s="77">
        <f t="shared" si="1"/>
        <v>6.2500000000000028E-2</v>
      </c>
      <c r="M40" s="77">
        <f t="shared" si="2"/>
        <v>0.10416666666666663</v>
      </c>
      <c r="N40" s="104">
        <v>1</v>
      </c>
      <c r="O40" s="105">
        <v>175000</v>
      </c>
      <c r="P40" s="118">
        <f t="shared" si="4"/>
        <v>175000</v>
      </c>
      <c r="Q40" s="20"/>
      <c r="R40" s="124"/>
      <c r="S40" s="20"/>
      <c r="T40" s="123"/>
      <c r="U40" s="20"/>
      <c r="V40" s="20"/>
      <c r="W40" s="27">
        <v>2</v>
      </c>
      <c r="X40" s="25">
        <f t="shared" si="6"/>
        <v>100000</v>
      </c>
      <c r="Y40" s="25">
        <v>196000</v>
      </c>
      <c r="Z40" s="28">
        <f t="shared" ref="Z40" si="8">SUM(I40+P40+Q40+V40+X40+Y40+T40)</f>
        <v>471000</v>
      </c>
    </row>
    <row r="41" spans="1:27" s="15" customFormat="1" ht="22.5" customHeight="1">
      <c r="A41" s="127"/>
      <c r="B41" s="109"/>
      <c r="C41" s="113"/>
      <c r="D41" s="113"/>
      <c r="E41" s="108"/>
      <c r="F41" s="108"/>
      <c r="G41" s="108"/>
      <c r="H41" s="108"/>
      <c r="I41" s="108"/>
      <c r="J41" s="116"/>
      <c r="K41" s="116"/>
      <c r="L41" s="107">
        <f t="shared" si="1"/>
        <v>0.29166666666666669</v>
      </c>
      <c r="M41" s="107"/>
      <c r="N41" s="104"/>
      <c r="O41" s="105"/>
      <c r="P41" s="118"/>
      <c r="Q41" s="20"/>
      <c r="R41" s="20"/>
      <c r="S41" s="20"/>
      <c r="T41" s="26"/>
      <c r="U41" s="20"/>
      <c r="V41" s="20"/>
      <c r="W41" s="27"/>
      <c r="X41" s="25"/>
      <c r="Y41" s="25"/>
      <c r="Z41" s="28">
        <f>SUM(I41+P41+Q41+V41+X41+Y41+T41)</f>
        <v>0</v>
      </c>
    </row>
    <row r="42" spans="1:27" s="53" customFormat="1" ht="22.5" customHeight="1">
      <c r="A42" s="45"/>
      <c r="B42" s="46"/>
      <c r="C42" s="46"/>
      <c r="D42" s="114">
        <f>SUM(D11:D41)</f>
        <v>6207</v>
      </c>
      <c r="E42" s="114">
        <f>SUM(E11:E41)</f>
        <v>0</v>
      </c>
      <c r="F42" s="125">
        <f>SUM(F10:F41)</f>
        <v>25000000</v>
      </c>
      <c r="G42" s="125">
        <f>SUM(G10:G41)</f>
        <v>3207</v>
      </c>
      <c r="H42" s="125">
        <f>SUM(H10:H41)</f>
        <v>6500</v>
      </c>
      <c r="I42" s="125">
        <f>SUM(I10:I41)</f>
        <v>20845500</v>
      </c>
      <c r="J42" s="119"/>
      <c r="K42" s="119"/>
      <c r="L42" s="119"/>
      <c r="M42" s="119"/>
      <c r="N42" s="120">
        <f>SUM(N11:N41)</f>
        <v>27</v>
      </c>
      <c r="O42" s="121"/>
      <c r="P42" s="125">
        <f>SUM(P10:P41)</f>
        <v>3175000</v>
      </c>
      <c r="Q42" s="115">
        <f t="shared" ref="Q42:V42" si="9">SUM(Q10:Q41)</f>
        <v>0</v>
      </c>
      <c r="R42" s="126">
        <f t="shared" si="9"/>
        <v>0</v>
      </c>
      <c r="S42" s="115">
        <f t="shared" si="9"/>
        <v>0</v>
      </c>
      <c r="T42" s="115">
        <f t="shared" si="9"/>
        <v>0</v>
      </c>
      <c r="U42" s="115">
        <f t="shared" si="9"/>
        <v>0</v>
      </c>
      <c r="V42" s="115">
        <f t="shared" si="9"/>
        <v>0</v>
      </c>
      <c r="W42" s="115">
        <f>SUM(W10:W41)</f>
        <v>7</v>
      </c>
      <c r="X42" s="115">
        <f>SUM(X10:X41)</f>
        <v>350000</v>
      </c>
      <c r="Y42" s="115">
        <f>SUM(Y10:Y41)</f>
        <v>2179000</v>
      </c>
      <c r="Z42" s="115">
        <f>SUM(Z10:Z41)</f>
        <v>51549500</v>
      </c>
      <c r="AA42" s="112">
        <f>F42+I42+P42+T42+V42+X42+Y42+Q42</f>
        <v>51549500</v>
      </c>
    </row>
    <row r="43" spans="1:27" s="37" customFormat="1" ht="9.75" customHeight="1">
      <c r="A43" s="54"/>
      <c r="B43" s="54"/>
      <c r="C43" s="54"/>
      <c r="D43" s="55"/>
      <c r="E43" s="56"/>
      <c r="F43" s="56"/>
      <c r="G43" s="56"/>
      <c r="H43" s="56"/>
      <c r="I43" s="56"/>
      <c r="J43" s="56"/>
      <c r="K43" s="56"/>
      <c r="L43" s="56"/>
      <c r="M43" s="56"/>
      <c r="N43" s="57"/>
      <c r="O43" s="58"/>
      <c r="P43" s="59"/>
      <c r="Q43" s="56"/>
      <c r="R43" s="56"/>
      <c r="S43" s="56"/>
      <c r="T43" s="60"/>
      <c r="U43" s="56"/>
      <c r="V43" s="56"/>
      <c r="W43" s="61"/>
      <c r="X43" s="59"/>
      <c r="Y43" s="59"/>
      <c r="Z43" s="59"/>
    </row>
    <row r="44" spans="1:27" ht="13.5" customHeight="1">
      <c r="A44" s="303" t="str">
        <f>A1</f>
        <v>CÔNG TY TNHH XÂY DỰNG VÀ VẬN TẢI ĐỨC HUY</v>
      </c>
      <c r="B44" s="304"/>
      <c r="C44" s="304"/>
      <c r="D44" s="304"/>
      <c r="E44" s="304"/>
      <c r="F44" s="304"/>
      <c r="G44" s="304"/>
      <c r="H44" s="304"/>
      <c r="I44" s="304"/>
      <c r="J44" s="304"/>
      <c r="K44" s="304"/>
      <c r="L44" s="304"/>
      <c r="M44" s="304"/>
      <c r="N44" s="304"/>
      <c r="O44" s="304" t="s">
        <v>32</v>
      </c>
      <c r="P44" s="304"/>
      <c r="Q44" s="304"/>
      <c r="R44" s="304"/>
      <c r="S44" s="304"/>
      <c r="T44" s="304"/>
      <c r="U44" s="304"/>
      <c r="V44" s="304"/>
      <c r="W44" s="304"/>
      <c r="X44" s="304"/>
      <c r="Y44" s="304"/>
      <c r="Z44" s="304"/>
      <c r="AA44" s="62" t="e">
        <f>#REF!-'BẢNG KÊ THỰC TẾ '!Z42</f>
        <v>#REF!</v>
      </c>
    </row>
    <row r="45" spans="1:27">
      <c r="U45" s="305"/>
      <c r="V45" s="306"/>
      <c r="W45" s="306"/>
      <c r="X45" s="306"/>
      <c r="Y45" s="306"/>
      <c r="Z45" s="306"/>
    </row>
    <row r="46" spans="1:27">
      <c r="AA46" s="34">
        <f>35+63+35+63</f>
        <v>196</v>
      </c>
    </row>
    <row r="49" spans="27:27">
      <c r="AA49" s="34">
        <f>9740-236-100-300</f>
        <v>9104</v>
      </c>
    </row>
  </sheetData>
  <sheetProtection selectLockedCells="1" selectUnlockedCells="1"/>
  <autoFilter ref="A9:CN42" xr:uid="{00000000-0009-0000-0000-000002000000}"/>
  <mergeCells count="26">
    <mergeCell ref="A5:Z5"/>
    <mergeCell ref="A1:J1"/>
    <mergeCell ref="P1:Z1"/>
    <mergeCell ref="P2:Z2"/>
    <mergeCell ref="A3:Z3"/>
    <mergeCell ref="A4:Z4"/>
    <mergeCell ref="A6:Z6"/>
    <mergeCell ref="V7:Z7"/>
    <mergeCell ref="A8:A9"/>
    <mergeCell ref="B8:B9"/>
    <mergeCell ref="C8:C9"/>
    <mergeCell ref="D8:D9"/>
    <mergeCell ref="E8:F8"/>
    <mergeCell ref="G8:I8"/>
    <mergeCell ref="J8:J9"/>
    <mergeCell ref="K8:K9"/>
    <mergeCell ref="Z8:Z9"/>
    <mergeCell ref="A44:N44"/>
    <mergeCell ref="O44:Z44"/>
    <mergeCell ref="U45:Z45"/>
    <mergeCell ref="N8:P8"/>
    <mergeCell ref="Q8:Q9"/>
    <mergeCell ref="R8:T8"/>
    <mergeCell ref="U8:V8"/>
    <mergeCell ref="W8:X8"/>
    <mergeCell ref="Y8:Y9"/>
  </mergeCells>
  <phoneticPr fontId="30" type="noConversion"/>
  <pageMargins left="0" right="0.25" top="0.23622047244094499" bottom="0" header="0" footer="0"/>
  <pageSetup paperSize="9" scale="54" orientation="landscape" r:id="rId1"/>
  <colBreaks count="1" manualBreakCount="1">
    <brk id="26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tabSelected="1" view="pageBreakPreview" topLeftCell="A16" zoomScale="85" zoomScaleNormal="100" zoomScaleSheetLayoutView="85" workbookViewId="0">
      <selection activeCell="B28" sqref="B28:D28"/>
    </sheetView>
  </sheetViews>
  <sheetFormatPr defaultColWidth="9.140625" defaultRowHeight="18.75"/>
  <cols>
    <col min="1" max="1" width="49.7109375" style="95" customWidth="1"/>
    <col min="2" max="2" width="32" style="95" customWidth="1"/>
    <col min="3" max="3" width="11" style="103" customWidth="1"/>
    <col min="4" max="4" width="15.5703125" style="103" customWidth="1"/>
    <col min="5" max="5" width="13.7109375" style="95" customWidth="1"/>
    <col min="6" max="6" width="14.85546875" style="95" bestFit="1" customWidth="1"/>
    <col min="7" max="7" width="16" style="95" bestFit="1" customWidth="1"/>
    <col min="8" max="18" width="9.140625" style="95"/>
    <col min="19" max="19" width="10.7109375" style="95" bestFit="1" customWidth="1"/>
    <col min="20" max="16384" width="9.140625" style="95"/>
  </cols>
  <sheetData>
    <row r="1" spans="1:7" s="81" customFormat="1" ht="24.75" customHeight="1">
      <c r="A1" s="329" t="s">
        <v>105</v>
      </c>
      <c r="B1" s="329"/>
      <c r="C1" s="329"/>
      <c r="D1" s="329"/>
      <c r="E1" s="80"/>
      <c r="F1" s="80"/>
      <c r="G1" s="80"/>
    </row>
    <row r="2" spans="1:7" s="81" customFormat="1" ht="16.5">
      <c r="A2" s="329"/>
      <c r="B2" s="329"/>
      <c r="C2" s="329"/>
      <c r="D2" s="329"/>
      <c r="E2" s="82"/>
      <c r="F2" s="82"/>
      <c r="G2" s="82"/>
    </row>
    <row r="3" spans="1:7" s="81" customFormat="1" ht="20.25" customHeight="1">
      <c r="A3" s="331" t="s">
        <v>96</v>
      </c>
      <c r="B3" s="331"/>
      <c r="C3" s="331"/>
      <c r="D3" s="331"/>
      <c r="E3" s="82"/>
      <c r="F3" s="82"/>
      <c r="G3" s="82"/>
    </row>
    <row r="4" spans="1:7" s="81" customFormat="1" ht="17.25" customHeight="1">
      <c r="A4" s="331"/>
      <c r="B4" s="331"/>
      <c r="C4" s="331"/>
      <c r="D4" s="331"/>
      <c r="E4" s="300"/>
      <c r="F4" s="300"/>
      <c r="G4" s="300"/>
    </row>
    <row r="5" spans="1:7" s="81" customFormat="1" ht="16.5" customHeight="1">
      <c r="A5" s="330" t="s">
        <v>97</v>
      </c>
      <c r="B5" s="330"/>
      <c r="C5" s="330"/>
      <c r="D5" s="330"/>
      <c r="E5" s="330"/>
      <c r="F5" s="330"/>
      <c r="G5" s="330"/>
    </row>
    <row r="6" spans="1:7" s="81" customFormat="1" ht="16.5">
      <c r="A6" s="301" t="s">
        <v>99</v>
      </c>
      <c r="B6" s="301"/>
      <c r="C6" s="301"/>
      <c r="D6" s="301"/>
      <c r="E6" s="301"/>
      <c r="F6" s="301"/>
      <c r="G6" s="301"/>
    </row>
    <row r="7" spans="1:7" s="81" customFormat="1" ht="17.25" customHeight="1">
      <c r="A7" s="83" t="s">
        <v>98</v>
      </c>
      <c r="B7" s="84"/>
      <c r="C7" s="84"/>
      <c r="D7" s="85"/>
      <c r="E7" s="85"/>
      <c r="F7" s="85"/>
      <c r="G7" s="85"/>
    </row>
    <row r="8" spans="1:7" s="86" customFormat="1" ht="24" customHeight="1">
      <c r="A8" s="328" t="s">
        <v>36</v>
      </c>
      <c r="B8" s="328"/>
      <c r="C8" s="328"/>
      <c r="D8" s="328"/>
      <c r="E8" s="328"/>
      <c r="F8" s="328"/>
      <c r="G8" s="328"/>
    </row>
    <row r="9" spans="1:7" s="89" customFormat="1" ht="36" customHeight="1">
      <c r="A9" s="333" t="s">
        <v>90</v>
      </c>
      <c r="B9" s="333"/>
      <c r="C9" s="333"/>
      <c r="D9" s="333"/>
      <c r="E9" s="87"/>
      <c r="F9" s="87"/>
      <c r="G9" s="88"/>
    </row>
    <row r="10" spans="1:7" s="90" customFormat="1" ht="16.5">
      <c r="A10" s="330" t="s">
        <v>91</v>
      </c>
      <c r="B10" s="330"/>
      <c r="C10" s="330"/>
      <c r="D10" s="330"/>
      <c r="E10" s="330"/>
      <c r="F10" s="330"/>
      <c r="G10" s="330"/>
    </row>
    <row r="11" spans="1:7" s="90" customFormat="1" ht="19.5">
      <c r="A11" s="334" t="s">
        <v>93</v>
      </c>
      <c r="B11" s="334"/>
      <c r="C11" s="334"/>
      <c r="D11" s="334"/>
      <c r="E11" s="335"/>
      <c r="F11" s="335"/>
      <c r="G11" s="335"/>
    </row>
    <row r="12" spans="1:7" s="92" customFormat="1" ht="56.25">
      <c r="A12" s="336" t="s">
        <v>37</v>
      </c>
      <c r="B12" s="336"/>
      <c r="C12" s="91" t="s">
        <v>38</v>
      </c>
      <c r="D12" s="91" t="s">
        <v>39</v>
      </c>
    </row>
    <row r="13" spans="1:7" ht="31.5" customHeight="1">
      <c r="A13" s="93" t="s">
        <v>40</v>
      </c>
      <c r="B13" s="93" t="s">
        <v>41</v>
      </c>
      <c r="C13" s="182"/>
      <c r="D13" s="183"/>
      <c r="G13" s="96"/>
    </row>
    <row r="14" spans="1:7" ht="31.5" customHeight="1">
      <c r="A14" s="93" t="s">
        <v>42</v>
      </c>
      <c r="B14" s="93" t="s">
        <v>43</v>
      </c>
      <c r="C14" s="183">
        <v>26</v>
      </c>
      <c r="D14" s="183">
        <v>42000000</v>
      </c>
    </row>
    <row r="15" spans="1:7" ht="31.5" customHeight="1">
      <c r="A15" s="284" t="s">
        <v>94</v>
      </c>
      <c r="B15" s="285" t="s">
        <v>95</v>
      </c>
      <c r="C15" s="181">
        <v>16</v>
      </c>
      <c r="D15" s="183">
        <f>C15*50000</f>
        <v>800000</v>
      </c>
    </row>
    <row r="16" spans="1:7" ht="31.5" customHeight="1">
      <c r="A16" s="93" t="s">
        <v>87</v>
      </c>
      <c r="B16" s="93" t="s">
        <v>86</v>
      </c>
      <c r="C16" s="181"/>
      <c r="D16" s="183"/>
    </row>
    <row r="17" spans="1:7" ht="31.5" customHeight="1">
      <c r="A17" s="93" t="s">
        <v>44</v>
      </c>
      <c r="B17" s="93" t="s">
        <v>45</v>
      </c>
      <c r="C17" s="183"/>
      <c r="D17" s="183">
        <f>C17*6500</f>
        <v>0</v>
      </c>
      <c r="G17" s="96"/>
    </row>
    <row r="18" spans="1:7" ht="31.5" hidden="1" customHeight="1">
      <c r="A18" s="93" t="s">
        <v>46</v>
      </c>
      <c r="B18" s="93" t="s">
        <v>47</v>
      </c>
      <c r="C18" s="183"/>
      <c r="D18" s="183"/>
    </row>
    <row r="19" spans="1:7" ht="31.5" hidden="1" customHeight="1">
      <c r="A19" s="93" t="s">
        <v>70</v>
      </c>
      <c r="B19" s="93" t="s">
        <v>47</v>
      </c>
      <c r="C19" s="181"/>
      <c r="D19" s="183"/>
    </row>
    <row r="20" spans="1:7" ht="31.5" customHeight="1">
      <c r="A20" s="93" t="s">
        <v>48</v>
      </c>
      <c r="B20" s="93" t="s">
        <v>49</v>
      </c>
      <c r="C20" s="183"/>
      <c r="D20" s="183">
        <f>'BẢNG KÊ CHI TIẾT XUẤT VAT 07'!R42</f>
        <v>0</v>
      </c>
    </row>
    <row r="21" spans="1:7" ht="31.5" hidden="1" customHeight="1">
      <c r="A21" s="93" t="s">
        <v>50</v>
      </c>
      <c r="B21" s="93" t="s">
        <v>51</v>
      </c>
      <c r="C21" s="183"/>
      <c r="D21" s="183"/>
    </row>
    <row r="22" spans="1:7" ht="31.5" customHeight="1">
      <c r="A22" s="93" t="s">
        <v>52</v>
      </c>
      <c r="B22" s="93" t="s">
        <v>53</v>
      </c>
      <c r="C22" s="183"/>
      <c r="D22" s="183">
        <f>+'BẢNG KÊ CHI TIẾT XUẤT VAT 07'!AA42</f>
        <v>0</v>
      </c>
      <c r="F22" s="96"/>
    </row>
    <row r="23" spans="1:7" ht="31.5" customHeight="1">
      <c r="A23" s="93" t="s">
        <v>54</v>
      </c>
      <c r="B23" s="93" t="s">
        <v>55</v>
      </c>
      <c r="C23" s="183">
        <f>+'BẢNG KÊ CHI TIẾT XUẤT VAT 07'!Y42</f>
        <v>9</v>
      </c>
      <c r="D23" s="183">
        <f>+'BẢNG KÊ CHI TIẾT XUẤT VAT 07'!Z42</f>
        <v>450000</v>
      </c>
      <c r="F23" s="96"/>
    </row>
    <row r="24" spans="1:7" ht="31.5" customHeight="1">
      <c r="A24" s="93" t="s">
        <v>85</v>
      </c>
      <c r="B24" s="93" t="s">
        <v>84</v>
      </c>
      <c r="C24" s="188"/>
      <c r="D24" s="183">
        <f>+'BẢNG KÊ CHI TIẾT XUẤT VAT 07'!X42</f>
        <v>0</v>
      </c>
      <c r="F24" s="96"/>
    </row>
    <row r="25" spans="1:7" s="98" customFormat="1" ht="31.5" customHeight="1">
      <c r="A25" s="97" t="s">
        <v>56</v>
      </c>
      <c r="B25" s="97" t="s">
        <v>57</v>
      </c>
      <c r="C25" s="182"/>
      <c r="D25" s="182">
        <f>SUM(D13:D24)</f>
        <v>43250000</v>
      </c>
      <c r="G25" s="99"/>
    </row>
    <row r="26" spans="1:7" s="98" customFormat="1" ht="31.5" customHeight="1">
      <c r="A26" s="97" t="s">
        <v>58</v>
      </c>
      <c r="B26" s="97" t="s">
        <v>59</v>
      </c>
      <c r="C26" s="182"/>
      <c r="D26" s="184" t="s">
        <v>60</v>
      </c>
      <c r="G26" s="99"/>
    </row>
    <row r="27" spans="1:7" s="98" customFormat="1" ht="31.5" customHeight="1">
      <c r="A27" s="97" t="s">
        <v>61</v>
      </c>
      <c r="B27" s="97" t="s">
        <v>62</v>
      </c>
      <c r="C27" s="94"/>
      <c r="D27" s="94">
        <f>D25+D26</f>
        <v>43250000</v>
      </c>
    </row>
    <row r="28" spans="1:7" s="98" customFormat="1" ht="56.25" customHeight="1">
      <c r="A28" s="100" t="s">
        <v>63</v>
      </c>
      <c r="B28" s="337" t="s">
        <v>106</v>
      </c>
      <c r="C28" s="337"/>
      <c r="D28" s="337"/>
    </row>
    <row r="29" spans="1:7" s="98" customFormat="1">
      <c r="A29" s="101"/>
      <c r="B29" s="332" t="s">
        <v>104</v>
      </c>
      <c r="C29" s="332"/>
      <c r="D29" s="332"/>
    </row>
    <row r="30" spans="1:7" s="98" customFormat="1">
      <c r="A30" s="98" t="s">
        <v>64</v>
      </c>
      <c r="B30" s="338" t="s">
        <v>65</v>
      </c>
      <c r="C30" s="338"/>
      <c r="D30" s="338"/>
    </row>
    <row r="31" spans="1:7" s="102" customFormat="1">
      <c r="A31" s="102" t="s">
        <v>66</v>
      </c>
      <c r="B31" s="332" t="s">
        <v>66</v>
      </c>
      <c r="C31" s="332"/>
      <c r="D31" s="332"/>
    </row>
    <row r="32" spans="1:7">
      <c r="F32" s="96"/>
    </row>
  </sheetData>
  <mergeCells count="12">
    <mergeCell ref="A8:G8"/>
    <mergeCell ref="A1:D2"/>
    <mergeCell ref="A5:G5"/>
    <mergeCell ref="A3:D4"/>
    <mergeCell ref="B31:D31"/>
    <mergeCell ref="A9:D9"/>
    <mergeCell ref="A11:G11"/>
    <mergeCell ref="A12:B12"/>
    <mergeCell ref="B28:D28"/>
    <mergeCell ref="B29:D29"/>
    <mergeCell ref="B30:D30"/>
    <mergeCell ref="A10:G10"/>
  </mergeCells>
  <phoneticPr fontId="30" type="noConversion"/>
  <pageMargins left="0.7" right="0.39" top="0.75" bottom="0.75" header="0.3" footer="0.3"/>
  <pageSetup paperSize="9" scale="8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C50"/>
  <sheetViews>
    <sheetView view="pageBreakPreview" topLeftCell="A26" zoomScale="85" zoomScaleNormal="85" zoomScaleSheetLayoutView="85" workbookViewId="0">
      <selection activeCell="I60" sqref="I60"/>
    </sheetView>
  </sheetViews>
  <sheetFormatPr defaultColWidth="9.28515625" defaultRowHeight="15"/>
  <cols>
    <col min="1" max="2" width="11.28515625" style="36" customWidth="1"/>
    <col min="3" max="3" width="13" style="36" customWidth="1"/>
    <col min="4" max="4" width="8.140625" style="34" customWidth="1"/>
    <col min="5" max="5" width="7.28515625" style="34" customWidth="1"/>
    <col min="6" max="6" width="15.85546875" style="34" customWidth="1"/>
    <col min="7" max="7" width="11.140625" style="34" customWidth="1"/>
    <col min="8" max="8" width="11" style="34" customWidth="1"/>
    <col min="9" max="9" width="15.140625" style="34" customWidth="1"/>
    <col min="10" max="11" width="8.28515625" style="167" customWidth="1"/>
    <col min="12" max="12" width="10" style="159" customWidth="1"/>
    <col min="13" max="13" width="10" style="34" hidden="1" customWidth="1"/>
    <col min="14" max="14" width="7.85546875" style="34" customWidth="1"/>
    <col min="15" max="15" width="9.7109375" style="35" customWidth="1"/>
    <col min="16" max="16" width="14.28515625" style="34" customWidth="1"/>
    <col min="17" max="17" width="15.28515625" style="34" customWidth="1"/>
    <col min="18" max="18" width="9.28515625" style="34" customWidth="1"/>
    <col min="19" max="19" width="13.28515625" style="34" customWidth="1"/>
    <col min="20" max="20" width="15.28515625" style="34" customWidth="1"/>
    <col min="21" max="21" width="10.140625" style="34" customWidth="1"/>
    <col min="22" max="22" width="9.28515625" style="34" customWidth="1"/>
    <col min="23" max="23" width="9.28515625" style="63" customWidth="1"/>
    <col min="24" max="24" width="13.140625" style="34" customWidth="1"/>
    <col min="25" max="25" width="11.85546875" style="34" customWidth="1"/>
    <col min="26" max="26" width="16.28515625" style="34" customWidth="1"/>
    <col min="27" max="27" width="33.28515625" style="34" customWidth="1"/>
    <col min="28" max="16384" width="9.28515625" style="34"/>
  </cols>
  <sheetData>
    <row r="1" spans="1:28" s="33" customFormat="1" ht="15.75">
      <c r="A1" s="326" t="s">
        <v>78</v>
      </c>
      <c r="B1" s="327"/>
      <c r="C1" s="327"/>
      <c r="D1" s="327"/>
      <c r="E1" s="327"/>
      <c r="F1" s="327"/>
      <c r="G1" s="327"/>
      <c r="H1" s="327"/>
      <c r="I1" s="327"/>
      <c r="J1" s="327"/>
      <c r="K1" s="165"/>
      <c r="L1" s="158"/>
      <c r="O1" s="32"/>
      <c r="P1" s="316" t="s">
        <v>0</v>
      </c>
      <c r="Q1" s="316"/>
      <c r="R1" s="316"/>
      <c r="S1" s="316"/>
      <c r="T1" s="316"/>
      <c r="U1" s="316"/>
      <c r="V1" s="316"/>
      <c r="W1" s="316"/>
      <c r="X1" s="316"/>
      <c r="Y1" s="316"/>
      <c r="Z1" s="316"/>
    </row>
    <row r="2" spans="1:28" s="33" customFormat="1" ht="15.75">
      <c r="A2" s="110" t="s">
        <v>79</v>
      </c>
      <c r="B2" s="110"/>
      <c r="C2" s="110"/>
      <c r="D2" s="111"/>
      <c r="E2" s="110"/>
      <c r="F2" s="110"/>
      <c r="G2" s="110"/>
      <c r="H2" s="110"/>
      <c r="I2" s="110"/>
      <c r="J2" s="166"/>
      <c r="K2" s="167"/>
      <c r="L2" s="159"/>
      <c r="M2" s="34"/>
      <c r="N2" s="34"/>
      <c r="O2" s="35"/>
      <c r="P2" s="316" t="s">
        <v>1</v>
      </c>
      <c r="Q2" s="316"/>
      <c r="R2" s="316"/>
      <c r="S2" s="316"/>
      <c r="T2" s="316"/>
      <c r="U2" s="316"/>
      <c r="V2" s="316"/>
      <c r="W2" s="316"/>
      <c r="X2" s="316"/>
      <c r="Y2" s="316"/>
      <c r="Z2" s="316"/>
    </row>
    <row r="3" spans="1:28" s="33" customFormat="1" ht="29.25" customHeight="1">
      <c r="A3" s="321" t="s">
        <v>3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</row>
    <row r="4" spans="1:28" s="33" customFormat="1" ht="32.25" customHeight="1">
      <c r="A4" s="321" t="s">
        <v>82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316"/>
    </row>
    <row r="5" spans="1:28" s="33" customFormat="1" ht="15.75">
      <c r="A5" s="315" t="s">
        <v>35</v>
      </c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  <c r="W5" s="315"/>
      <c r="X5" s="315"/>
      <c r="Y5" s="315"/>
      <c r="Z5" s="315"/>
    </row>
    <row r="6" spans="1:28" s="33" customFormat="1" ht="15.75">
      <c r="A6" s="316" t="s">
        <v>31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  <c r="Y6" s="316"/>
      <c r="Z6" s="316"/>
    </row>
    <row r="7" spans="1:28" ht="12" hidden="1" customHeight="1">
      <c r="V7" s="317" t="s">
        <v>2</v>
      </c>
      <c r="W7" s="317"/>
      <c r="X7" s="317"/>
      <c r="Y7" s="317"/>
      <c r="Z7" s="317"/>
    </row>
    <row r="8" spans="1:28" s="37" customFormat="1" ht="50.25" customHeight="1">
      <c r="A8" s="318" t="s">
        <v>4</v>
      </c>
      <c r="B8" s="318" t="s">
        <v>27</v>
      </c>
      <c r="C8" s="318" t="s">
        <v>28</v>
      </c>
      <c r="D8" s="307" t="s">
        <v>5</v>
      </c>
      <c r="E8" s="312" t="s">
        <v>6</v>
      </c>
      <c r="F8" s="312"/>
      <c r="G8" s="312" t="s">
        <v>7</v>
      </c>
      <c r="H8" s="312"/>
      <c r="I8" s="312"/>
      <c r="J8" s="339" t="s">
        <v>13</v>
      </c>
      <c r="K8" s="339" t="s">
        <v>14</v>
      </c>
      <c r="L8" s="341" t="s">
        <v>80</v>
      </c>
      <c r="M8" s="68"/>
      <c r="N8" s="309" t="s">
        <v>15</v>
      </c>
      <c r="O8" s="310"/>
      <c r="P8" s="311"/>
      <c r="Q8" s="307" t="s">
        <v>18</v>
      </c>
      <c r="R8" s="312" t="s">
        <v>19</v>
      </c>
      <c r="S8" s="312"/>
      <c r="T8" s="312"/>
      <c r="U8" s="324" t="s">
        <v>22</v>
      </c>
      <c r="V8" s="325"/>
      <c r="W8" s="313" t="s">
        <v>23</v>
      </c>
      <c r="X8" s="314"/>
      <c r="Y8" s="307" t="s">
        <v>25</v>
      </c>
      <c r="Z8" s="307" t="s">
        <v>26</v>
      </c>
      <c r="AA8" s="122"/>
    </row>
    <row r="9" spans="1:28" s="37" customFormat="1" ht="64.5" customHeight="1">
      <c r="A9" s="319"/>
      <c r="B9" s="320"/>
      <c r="C9" s="320"/>
      <c r="D9" s="308"/>
      <c r="E9" s="67" t="s">
        <v>8</v>
      </c>
      <c r="F9" s="67" t="s">
        <v>9</v>
      </c>
      <c r="G9" s="67" t="s">
        <v>10</v>
      </c>
      <c r="H9" s="67" t="s">
        <v>11</v>
      </c>
      <c r="I9" s="67" t="s">
        <v>12</v>
      </c>
      <c r="J9" s="340"/>
      <c r="K9" s="340"/>
      <c r="L9" s="342"/>
      <c r="M9" s="66"/>
      <c r="N9" s="67" t="s">
        <v>16</v>
      </c>
      <c r="O9" s="67" t="s">
        <v>11</v>
      </c>
      <c r="P9" s="67" t="s">
        <v>17</v>
      </c>
      <c r="Q9" s="308"/>
      <c r="R9" s="67" t="s">
        <v>16</v>
      </c>
      <c r="S9" s="67" t="s">
        <v>11</v>
      </c>
      <c r="T9" s="67" t="s">
        <v>12</v>
      </c>
      <c r="U9" s="67" t="s">
        <v>11</v>
      </c>
      <c r="V9" s="67" t="s">
        <v>12</v>
      </c>
      <c r="W9" s="38" t="s">
        <v>24</v>
      </c>
      <c r="X9" s="67" t="s">
        <v>12</v>
      </c>
      <c r="Y9" s="308"/>
      <c r="Z9" s="308"/>
    </row>
    <row r="10" spans="1:28" s="37" customFormat="1" ht="22.5" customHeight="1">
      <c r="A10" s="39"/>
      <c r="B10" s="39"/>
      <c r="C10" s="39"/>
      <c r="D10" s="40"/>
      <c r="E10" s="41">
        <v>3000</v>
      </c>
      <c r="F10" s="41">
        <v>25000000</v>
      </c>
      <c r="G10" s="41">
        <f>+D42-E10</f>
        <v>3431</v>
      </c>
      <c r="H10" s="41">
        <v>6500</v>
      </c>
      <c r="I10" s="41">
        <f>G10*H10</f>
        <v>22301500</v>
      </c>
      <c r="J10" s="116"/>
      <c r="K10" s="116"/>
      <c r="L10" s="160"/>
      <c r="M10" s="41"/>
      <c r="N10" s="40"/>
      <c r="O10" s="117"/>
      <c r="P10" s="41"/>
      <c r="Q10" s="41"/>
      <c r="R10" s="41"/>
      <c r="S10" s="41"/>
      <c r="T10" s="40"/>
      <c r="U10" s="41"/>
      <c r="V10" s="41"/>
      <c r="W10" s="43"/>
      <c r="X10" s="41"/>
      <c r="Y10" s="41"/>
      <c r="Z10" s="44">
        <f>F10+I10+P10+Q10+S10+V10+X10+Y10</f>
        <v>47301500</v>
      </c>
    </row>
    <row r="11" spans="1:28" s="15" customFormat="1" ht="22.5" customHeight="1">
      <c r="A11" s="127">
        <v>45139</v>
      </c>
      <c r="B11" s="109">
        <v>128902</v>
      </c>
      <c r="C11" s="113">
        <v>129242</v>
      </c>
      <c r="D11" s="113">
        <f t="shared" ref="D11:D40" si="0">C11-B11</f>
        <v>340</v>
      </c>
      <c r="E11" s="106"/>
      <c r="F11" s="106"/>
      <c r="G11" s="106"/>
      <c r="H11" s="106"/>
      <c r="I11" s="106"/>
      <c r="J11" s="116">
        <v>0.29166666666666669</v>
      </c>
      <c r="K11" s="169">
        <v>0</v>
      </c>
      <c r="L11" s="161">
        <v>2</v>
      </c>
      <c r="M11" s="157"/>
      <c r="N11" s="104">
        <v>1</v>
      </c>
      <c r="O11" s="105">
        <f>100000+100000</f>
        <v>200000</v>
      </c>
      <c r="P11" s="118">
        <f>N11*O11</f>
        <v>200000</v>
      </c>
      <c r="Q11" s="106"/>
      <c r="R11" s="106"/>
      <c r="S11" s="106"/>
      <c r="T11" s="137"/>
      <c r="U11" s="106"/>
      <c r="V11" s="106"/>
      <c r="W11" s="15">
        <v>1</v>
      </c>
      <c r="X11" s="118">
        <f t="shared" ref="X11:X18" si="1">W11*50000</f>
        <v>50000</v>
      </c>
      <c r="Y11" s="118">
        <v>70000</v>
      </c>
      <c r="Z11" s="139">
        <f>SUM(I11+P11+Q11+V11+X11+Y11+T11)</f>
        <v>320000</v>
      </c>
      <c r="AB11" s="16"/>
    </row>
    <row r="12" spans="1:28" s="37" customFormat="1" ht="22.5" customHeight="1">
      <c r="A12" s="127">
        <v>45140</v>
      </c>
      <c r="B12" s="109">
        <v>129246</v>
      </c>
      <c r="C12" s="113">
        <v>129428</v>
      </c>
      <c r="D12" s="113">
        <f t="shared" si="0"/>
        <v>182</v>
      </c>
      <c r="E12" s="106"/>
      <c r="F12" s="106"/>
      <c r="G12" s="106"/>
      <c r="H12" s="106"/>
      <c r="I12" s="106"/>
      <c r="J12" s="116">
        <v>0.29166666666666669</v>
      </c>
      <c r="K12" s="116">
        <v>0.83333333333333337</v>
      </c>
      <c r="L12" s="161"/>
      <c r="M12" s="107"/>
      <c r="N12" s="104">
        <v>1</v>
      </c>
      <c r="O12" s="105">
        <v>100000</v>
      </c>
      <c r="P12" s="118">
        <f t="shared" ref="P12:P41" si="2">N12*O12</f>
        <v>100000</v>
      </c>
      <c r="Q12" s="106"/>
      <c r="R12" s="106"/>
      <c r="S12" s="106"/>
      <c r="T12" s="137"/>
      <c r="U12" s="106"/>
      <c r="V12" s="106"/>
      <c r="W12" s="138"/>
      <c r="X12" s="118">
        <f t="shared" si="1"/>
        <v>0</v>
      </c>
      <c r="Y12" s="118">
        <v>30000</v>
      </c>
      <c r="Z12" s="139">
        <f t="shared" ref="Z12:Z41" si="3">SUM(I12+P12+Q12+V12+X12+Y12+T12)</f>
        <v>130000</v>
      </c>
      <c r="AB12" s="170"/>
    </row>
    <row r="13" spans="1:28" s="37" customFormat="1" ht="22.5" customHeight="1">
      <c r="A13" s="127">
        <v>45141</v>
      </c>
      <c r="B13" s="109">
        <v>129432</v>
      </c>
      <c r="C13" s="113">
        <v>129616</v>
      </c>
      <c r="D13" s="113">
        <f t="shared" si="0"/>
        <v>184</v>
      </c>
      <c r="E13" s="106"/>
      <c r="F13" s="106"/>
      <c r="G13" s="106"/>
      <c r="H13" s="106"/>
      <c r="I13" s="106"/>
      <c r="J13" s="116">
        <v>0.29166666666666669</v>
      </c>
      <c r="K13" s="116">
        <v>0.83333333333333337</v>
      </c>
      <c r="L13" s="140"/>
      <c r="M13" s="77"/>
      <c r="N13" s="104">
        <v>1</v>
      </c>
      <c r="O13" s="105">
        <v>100000</v>
      </c>
      <c r="P13" s="118">
        <f t="shared" si="2"/>
        <v>100000</v>
      </c>
      <c r="Q13" s="147"/>
      <c r="R13" s="106"/>
      <c r="S13" s="106"/>
      <c r="T13" s="137"/>
      <c r="U13" s="106"/>
      <c r="V13" s="106"/>
      <c r="W13" s="138"/>
      <c r="X13" s="118">
        <f t="shared" si="1"/>
        <v>0</v>
      </c>
      <c r="Y13" s="118"/>
      <c r="Z13" s="139">
        <f t="shared" si="3"/>
        <v>100000</v>
      </c>
      <c r="AB13" s="170"/>
    </row>
    <row r="14" spans="1:28" s="37" customFormat="1" ht="22.5" customHeight="1">
      <c r="A14" s="127">
        <v>45142</v>
      </c>
      <c r="B14" s="109">
        <v>129622</v>
      </c>
      <c r="C14" s="113">
        <v>129773</v>
      </c>
      <c r="D14" s="113">
        <f t="shared" si="0"/>
        <v>151</v>
      </c>
      <c r="E14" s="106"/>
      <c r="F14" s="106"/>
      <c r="G14" s="106"/>
      <c r="H14" s="106"/>
      <c r="I14" s="106"/>
      <c r="J14" s="116">
        <v>0.29166666666666669</v>
      </c>
      <c r="K14" s="116">
        <v>0.85416666666666663</v>
      </c>
      <c r="L14" s="140"/>
      <c r="M14" s="77"/>
      <c r="N14" s="104">
        <v>1</v>
      </c>
      <c r="O14" s="105">
        <v>100000</v>
      </c>
      <c r="P14" s="118">
        <f t="shared" si="2"/>
        <v>100000</v>
      </c>
      <c r="Q14" s="106"/>
      <c r="R14" s="106"/>
      <c r="S14" s="106"/>
      <c r="T14" s="140"/>
      <c r="U14" s="106"/>
      <c r="V14" s="106"/>
      <c r="W14" s="138"/>
      <c r="X14" s="118">
        <f t="shared" si="1"/>
        <v>0</v>
      </c>
      <c r="Y14" s="118"/>
      <c r="Z14" s="139">
        <f t="shared" si="3"/>
        <v>100000</v>
      </c>
      <c r="AB14" s="170"/>
    </row>
    <row r="15" spans="1:28" s="37" customFormat="1" ht="22.5" customHeight="1">
      <c r="A15" s="127">
        <v>45143</v>
      </c>
      <c r="B15" s="109">
        <v>129781</v>
      </c>
      <c r="C15" s="113">
        <v>130141</v>
      </c>
      <c r="D15" s="113">
        <f t="shared" si="0"/>
        <v>360</v>
      </c>
      <c r="E15" s="106"/>
      <c r="F15" s="106"/>
      <c r="G15" s="106"/>
      <c r="H15" s="106"/>
      <c r="I15" s="106"/>
      <c r="J15" s="169">
        <v>0.22916666666666666</v>
      </c>
      <c r="K15" s="116">
        <v>0.66666666666666663</v>
      </c>
      <c r="L15" s="140">
        <v>1.5</v>
      </c>
      <c r="M15" s="77"/>
      <c r="N15" s="104"/>
      <c r="O15" s="105">
        <v>75000</v>
      </c>
      <c r="P15" s="118">
        <f>O15</f>
        <v>75000</v>
      </c>
      <c r="Q15" s="106"/>
      <c r="R15" s="106"/>
      <c r="S15" s="106"/>
      <c r="T15" s="137"/>
      <c r="U15" s="106"/>
      <c r="V15" s="106"/>
      <c r="W15" s="138"/>
      <c r="X15" s="118">
        <f t="shared" si="1"/>
        <v>0</v>
      </c>
      <c r="Y15" s="118">
        <v>18000</v>
      </c>
      <c r="Z15" s="139">
        <f t="shared" si="3"/>
        <v>93000</v>
      </c>
      <c r="AB15" s="170"/>
    </row>
    <row r="16" spans="1:28" s="148" customFormat="1" ht="22.5" customHeight="1">
      <c r="A16" s="129">
        <v>45144</v>
      </c>
      <c r="B16" s="130"/>
      <c r="C16" s="131"/>
      <c r="D16" s="131">
        <f t="shared" si="0"/>
        <v>0</v>
      </c>
      <c r="E16" s="150"/>
      <c r="F16" s="150"/>
      <c r="G16" s="150"/>
      <c r="H16" s="150"/>
      <c r="I16" s="150"/>
      <c r="J16" s="72"/>
      <c r="K16" s="72"/>
      <c r="L16" s="162"/>
      <c r="M16" s="74"/>
      <c r="N16" s="133"/>
      <c r="O16" s="105">
        <v>100000</v>
      </c>
      <c r="P16" s="118">
        <f t="shared" si="2"/>
        <v>0</v>
      </c>
      <c r="Q16" s="152"/>
      <c r="R16" s="150"/>
      <c r="S16" s="150"/>
      <c r="T16" s="162"/>
      <c r="U16" s="150"/>
      <c r="V16" s="150"/>
      <c r="W16" s="154"/>
      <c r="X16" s="151">
        <f t="shared" si="1"/>
        <v>0</v>
      </c>
      <c r="Y16" s="151"/>
      <c r="Z16" s="155">
        <f t="shared" si="3"/>
        <v>0</v>
      </c>
      <c r="AB16" s="149"/>
    </row>
    <row r="17" spans="1:29" s="37" customFormat="1" ht="22.5" customHeight="1">
      <c r="A17" s="127">
        <v>45145</v>
      </c>
      <c r="B17" s="109">
        <v>130148</v>
      </c>
      <c r="C17" s="113">
        <v>130349</v>
      </c>
      <c r="D17" s="113">
        <f t="shared" si="0"/>
        <v>201</v>
      </c>
      <c r="E17" s="106"/>
      <c r="F17" s="106"/>
      <c r="G17" s="106"/>
      <c r="H17" s="106"/>
      <c r="I17" s="106"/>
      <c r="J17" s="116">
        <v>0.29166666666666669</v>
      </c>
      <c r="K17" s="116">
        <v>0.89583333333333337</v>
      </c>
      <c r="L17" s="140"/>
      <c r="M17" s="77"/>
      <c r="N17" s="104">
        <v>1</v>
      </c>
      <c r="O17" s="105">
        <v>100000</v>
      </c>
      <c r="P17" s="118">
        <f t="shared" si="2"/>
        <v>100000</v>
      </c>
      <c r="Q17" s="147"/>
      <c r="R17" s="147"/>
      <c r="S17" s="106"/>
      <c r="T17" s="141"/>
      <c r="U17" s="106"/>
      <c r="V17" s="106"/>
      <c r="W17" s="138"/>
      <c r="X17" s="118">
        <f>W17*50000</f>
        <v>0</v>
      </c>
      <c r="Y17" s="118"/>
      <c r="Z17" s="139">
        <f t="shared" si="3"/>
        <v>100000</v>
      </c>
      <c r="AB17" s="170"/>
    </row>
    <row r="18" spans="1:29" s="171" customFormat="1" ht="22.5" customHeight="1">
      <c r="A18" s="127">
        <v>45146</v>
      </c>
      <c r="B18" s="109">
        <v>130354</v>
      </c>
      <c r="C18" s="113">
        <v>130638</v>
      </c>
      <c r="D18" s="113">
        <f t="shared" si="0"/>
        <v>284</v>
      </c>
      <c r="E18" s="106"/>
      <c r="F18" s="106"/>
      <c r="G18" s="106"/>
      <c r="H18" s="106"/>
      <c r="I18" s="106"/>
      <c r="J18" s="116">
        <v>0.29166666666666669</v>
      </c>
      <c r="K18" s="116">
        <v>0.85416666666666663</v>
      </c>
      <c r="L18" s="140"/>
      <c r="M18" s="77"/>
      <c r="N18" s="104">
        <v>1</v>
      </c>
      <c r="O18" s="105">
        <v>100000</v>
      </c>
      <c r="P18" s="118">
        <f t="shared" si="2"/>
        <v>100000</v>
      </c>
      <c r="Q18" s="106"/>
      <c r="R18" s="106"/>
      <c r="S18" s="106"/>
      <c r="T18" s="141"/>
      <c r="U18" s="106"/>
      <c r="V18" s="106"/>
      <c r="W18" s="138"/>
      <c r="X18" s="118">
        <f t="shared" si="1"/>
        <v>0</v>
      </c>
      <c r="Y18" s="118">
        <f>70000+50000</f>
        <v>120000</v>
      </c>
      <c r="Z18" s="139">
        <f t="shared" si="3"/>
        <v>220000</v>
      </c>
      <c r="AB18" s="172"/>
    </row>
    <row r="19" spans="1:29" s="37" customFormat="1" ht="22.5" customHeight="1">
      <c r="A19" s="127">
        <v>45147</v>
      </c>
      <c r="B19" s="109">
        <v>130642</v>
      </c>
      <c r="C19" s="173">
        <v>130737</v>
      </c>
      <c r="D19" s="113">
        <f>C19-B19</f>
        <v>95</v>
      </c>
      <c r="E19" s="106"/>
      <c r="F19" s="106"/>
      <c r="G19" s="106"/>
      <c r="H19" s="106"/>
      <c r="I19" s="106"/>
      <c r="J19" s="116">
        <v>0.29166666666666669</v>
      </c>
      <c r="K19" s="116">
        <v>0.83333333333333337</v>
      </c>
      <c r="L19" s="140"/>
      <c r="M19" s="77"/>
      <c r="N19" s="104">
        <v>1</v>
      </c>
      <c r="O19" s="105">
        <v>100000</v>
      </c>
      <c r="P19" s="118">
        <f t="shared" si="2"/>
        <v>100000</v>
      </c>
      <c r="Q19" s="106"/>
      <c r="R19" s="106"/>
      <c r="S19" s="106"/>
      <c r="T19" s="141"/>
      <c r="U19" s="106"/>
      <c r="V19" s="106"/>
      <c r="W19" s="138"/>
      <c r="X19" s="118">
        <f>W19*50000</f>
        <v>0</v>
      </c>
      <c r="Y19" s="118"/>
      <c r="Z19" s="139">
        <f t="shared" si="3"/>
        <v>100000</v>
      </c>
      <c r="AA19" s="37">
        <v>1</v>
      </c>
      <c r="AB19" s="170"/>
    </row>
    <row r="20" spans="1:29" s="171" customFormat="1" ht="22.5" customHeight="1">
      <c r="A20" s="127">
        <v>45148</v>
      </c>
      <c r="B20" s="109">
        <v>130741</v>
      </c>
      <c r="C20" s="113">
        <v>130875</v>
      </c>
      <c r="D20" s="113">
        <f t="shared" si="0"/>
        <v>134</v>
      </c>
      <c r="E20" s="106"/>
      <c r="F20" s="108"/>
      <c r="G20" s="108"/>
      <c r="H20" s="108"/>
      <c r="I20" s="108"/>
      <c r="J20" s="116">
        <v>0.29166666666666669</v>
      </c>
      <c r="K20" s="116">
        <v>0.85416666666666663</v>
      </c>
      <c r="L20" s="163"/>
      <c r="M20" s="107"/>
      <c r="N20" s="104">
        <v>1</v>
      </c>
      <c r="O20" s="105">
        <v>100000</v>
      </c>
      <c r="P20" s="118">
        <f t="shared" si="2"/>
        <v>100000</v>
      </c>
      <c r="Q20" s="147"/>
      <c r="R20" s="106"/>
      <c r="S20" s="106"/>
      <c r="T20" s="140"/>
      <c r="U20" s="106"/>
      <c r="V20" s="106"/>
      <c r="W20" s="138"/>
      <c r="X20" s="118">
        <f t="shared" ref="X20:X41" si="4">W20*50000</f>
        <v>0</v>
      </c>
      <c r="Y20" s="118"/>
      <c r="Z20" s="139">
        <f t="shared" si="3"/>
        <v>100000</v>
      </c>
      <c r="AB20" s="172"/>
    </row>
    <row r="21" spans="1:29" s="37" customFormat="1" ht="23.25" customHeight="1">
      <c r="A21" s="127">
        <v>45149</v>
      </c>
      <c r="B21" s="109">
        <v>130879</v>
      </c>
      <c r="C21" s="113">
        <v>130951</v>
      </c>
      <c r="D21" s="113">
        <f t="shared" si="0"/>
        <v>72</v>
      </c>
      <c r="E21" s="106"/>
      <c r="F21" s="106"/>
      <c r="G21" s="106"/>
      <c r="H21" s="106"/>
      <c r="I21" s="106"/>
      <c r="J21" s="116">
        <v>0.29166666666666669</v>
      </c>
      <c r="K21" s="116">
        <v>0.85416666666666663</v>
      </c>
      <c r="L21" s="140"/>
      <c r="M21" s="77"/>
      <c r="N21" s="104">
        <v>1</v>
      </c>
      <c r="O21" s="105">
        <v>100000</v>
      </c>
      <c r="P21" s="118">
        <f t="shared" si="2"/>
        <v>100000</v>
      </c>
      <c r="Q21" s="147"/>
      <c r="R21" s="106"/>
      <c r="S21" s="106"/>
      <c r="T21" s="140"/>
      <c r="U21" s="106"/>
      <c r="V21" s="106"/>
      <c r="W21" s="138"/>
      <c r="X21" s="118">
        <f>W21*50000</f>
        <v>0</v>
      </c>
      <c r="Y21" s="118"/>
      <c r="Z21" s="139">
        <f t="shared" si="3"/>
        <v>100000</v>
      </c>
      <c r="AB21" s="170"/>
    </row>
    <row r="22" spans="1:29" s="37" customFormat="1" ht="22.5" customHeight="1">
      <c r="A22" s="127">
        <v>45150</v>
      </c>
      <c r="B22" s="109">
        <v>130956</v>
      </c>
      <c r="C22" s="113">
        <v>131170</v>
      </c>
      <c r="D22" s="113">
        <f t="shared" si="0"/>
        <v>214</v>
      </c>
      <c r="E22" s="106"/>
      <c r="F22" s="106"/>
      <c r="G22" s="106"/>
      <c r="H22" s="106"/>
      <c r="I22" s="106"/>
      <c r="J22" s="169">
        <v>0.20833333333333334</v>
      </c>
      <c r="K22" s="116">
        <v>0.79166666666666663</v>
      </c>
      <c r="L22" s="140">
        <v>2</v>
      </c>
      <c r="M22" s="77"/>
      <c r="N22" s="104">
        <v>1</v>
      </c>
      <c r="O22" s="105">
        <f>100000+100000</f>
        <v>200000</v>
      </c>
      <c r="P22" s="118">
        <f t="shared" si="2"/>
        <v>200000</v>
      </c>
      <c r="Q22" s="106"/>
      <c r="R22" s="106"/>
      <c r="S22" s="106"/>
      <c r="T22" s="141"/>
      <c r="U22" s="106"/>
      <c r="V22" s="106"/>
      <c r="W22" s="138"/>
      <c r="X22" s="118">
        <f t="shared" si="4"/>
        <v>0</v>
      </c>
      <c r="Y22" s="118">
        <v>9000</v>
      </c>
      <c r="Z22" s="139">
        <f t="shared" si="3"/>
        <v>209000</v>
      </c>
      <c r="AB22" s="170"/>
      <c r="AC22" s="37" t="s">
        <v>77</v>
      </c>
    </row>
    <row r="23" spans="1:29" s="148" customFormat="1" ht="22.5" customHeight="1">
      <c r="A23" s="129">
        <v>45151</v>
      </c>
      <c r="B23" s="130">
        <v>131178</v>
      </c>
      <c r="C23" s="131">
        <v>131336</v>
      </c>
      <c r="D23" s="131">
        <f t="shared" si="0"/>
        <v>158</v>
      </c>
      <c r="E23" s="150"/>
      <c r="F23" s="150"/>
      <c r="G23" s="150"/>
      <c r="H23" s="150"/>
      <c r="I23" s="150"/>
      <c r="J23" s="72">
        <v>0.64583333333333337</v>
      </c>
      <c r="K23" s="72">
        <v>0.77083333333333337</v>
      </c>
      <c r="L23" s="162">
        <v>0.5</v>
      </c>
      <c r="M23" s="74"/>
      <c r="N23" s="133"/>
      <c r="O23" s="105">
        <f>0.5*50000</f>
        <v>25000</v>
      </c>
      <c r="P23" s="118">
        <v>25000</v>
      </c>
      <c r="Q23" s="152"/>
      <c r="R23" s="152">
        <v>2.5</v>
      </c>
      <c r="S23" s="150">
        <f>1000000/8</f>
        <v>125000</v>
      </c>
      <c r="T23" s="153">
        <f>R23*S23</f>
        <v>312500</v>
      </c>
      <c r="U23" s="150"/>
      <c r="V23" s="150"/>
      <c r="W23" s="154"/>
      <c r="X23" s="151">
        <f t="shared" si="4"/>
        <v>0</v>
      </c>
      <c r="Y23" s="151">
        <v>13000</v>
      </c>
      <c r="Z23" s="155">
        <f t="shared" si="3"/>
        <v>350500</v>
      </c>
      <c r="AB23" s="149"/>
    </row>
    <row r="24" spans="1:29" s="37" customFormat="1" ht="22.5" customHeight="1">
      <c r="A24" s="127">
        <v>45152</v>
      </c>
      <c r="B24" s="109">
        <v>131340</v>
      </c>
      <c r="C24" s="113">
        <v>131579</v>
      </c>
      <c r="D24" s="113">
        <f t="shared" si="0"/>
        <v>239</v>
      </c>
      <c r="E24" s="106"/>
      <c r="F24" s="106"/>
      <c r="G24" s="106"/>
      <c r="H24" s="106"/>
      <c r="I24" s="106"/>
      <c r="J24" s="116">
        <v>0.29166666666666669</v>
      </c>
      <c r="K24" s="116">
        <v>0.85416666666666663</v>
      </c>
      <c r="L24" s="140"/>
      <c r="M24" s="77"/>
      <c r="N24" s="104">
        <v>1</v>
      </c>
      <c r="O24" s="105">
        <v>100000</v>
      </c>
      <c r="P24" s="118">
        <f t="shared" si="2"/>
        <v>100000</v>
      </c>
      <c r="Q24" s="106"/>
      <c r="R24" s="147"/>
      <c r="S24" s="106"/>
      <c r="T24" s="141"/>
      <c r="U24" s="106"/>
      <c r="V24" s="106"/>
      <c r="W24" s="138"/>
      <c r="X24" s="118">
        <f t="shared" si="4"/>
        <v>0</v>
      </c>
      <c r="Y24" s="118"/>
      <c r="Z24" s="139">
        <f t="shared" si="3"/>
        <v>100000</v>
      </c>
      <c r="AB24" s="170"/>
    </row>
    <row r="25" spans="1:29" s="171" customFormat="1" ht="22.5" customHeight="1">
      <c r="A25" s="127">
        <v>45153</v>
      </c>
      <c r="B25" s="109">
        <v>131583</v>
      </c>
      <c r="C25" s="113">
        <v>131841</v>
      </c>
      <c r="D25" s="113">
        <f t="shared" si="0"/>
        <v>258</v>
      </c>
      <c r="E25" s="106"/>
      <c r="F25" s="106"/>
      <c r="G25" s="106"/>
      <c r="H25" s="106"/>
      <c r="I25" s="106"/>
      <c r="J25" s="116">
        <v>0.29166666666666669</v>
      </c>
      <c r="K25" s="116">
        <v>0.85416666666666663</v>
      </c>
      <c r="L25" s="140"/>
      <c r="M25" s="77"/>
      <c r="N25" s="104">
        <v>1</v>
      </c>
      <c r="O25" s="105">
        <v>100000</v>
      </c>
      <c r="P25" s="118">
        <f t="shared" si="2"/>
        <v>100000</v>
      </c>
      <c r="Q25" s="106"/>
      <c r="R25" s="106"/>
      <c r="S25" s="106"/>
      <c r="T25" s="141"/>
      <c r="U25" s="106"/>
      <c r="V25" s="106"/>
      <c r="W25" s="138">
        <v>1</v>
      </c>
      <c r="X25" s="118">
        <f t="shared" si="4"/>
        <v>50000</v>
      </c>
      <c r="Y25" s="118"/>
      <c r="Z25" s="139">
        <f t="shared" si="3"/>
        <v>150000</v>
      </c>
      <c r="AB25" s="172"/>
    </row>
    <row r="26" spans="1:29" s="37" customFormat="1" ht="22.5" customHeight="1">
      <c r="A26" s="127">
        <v>45154</v>
      </c>
      <c r="B26" s="109">
        <v>131846</v>
      </c>
      <c r="C26" s="113">
        <v>132011</v>
      </c>
      <c r="D26" s="113">
        <f t="shared" si="0"/>
        <v>165</v>
      </c>
      <c r="E26" s="106"/>
      <c r="F26" s="106"/>
      <c r="G26" s="106"/>
      <c r="H26" s="106"/>
      <c r="I26" s="106"/>
      <c r="J26" s="116">
        <v>0.29166666666666669</v>
      </c>
      <c r="K26" s="116">
        <v>0.83333333333333337</v>
      </c>
      <c r="L26" s="140"/>
      <c r="M26" s="77"/>
      <c r="N26" s="104">
        <v>1</v>
      </c>
      <c r="O26" s="105">
        <v>100000</v>
      </c>
      <c r="P26" s="118">
        <f t="shared" si="2"/>
        <v>100000</v>
      </c>
      <c r="Q26" s="106"/>
      <c r="R26" s="147"/>
      <c r="S26" s="106"/>
      <c r="T26" s="141"/>
      <c r="U26" s="106"/>
      <c r="V26" s="106"/>
      <c r="W26" s="138">
        <v>1</v>
      </c>
      <c r="X26" s="118">
        <f t="shared" si="4"/>
        <v>50000</v>
      </c>
      <c r="Y26" s="118"/>
      <c r="Z26" s="139">
        <f t="shared" si="3"/>
        <v>150000</v>
      </c>
      <c r="AB26" s="170"/>
    </row>
    <row r="27" spans="1:29" s="171" customFormat="1" ht="22.5" customHeight="1">
      <c r="A27" s="127">
        <v>45155</v>
      </c>
      <c r="B27" s="109">
        <v>132015</v>
      </c>
      <c r="C27" s="113">
        <v>132227</v>
      </c>
      <c r="D27" s="113">
        <f t="shared" si="0"/>
        <v>212</v>
      </c>
      <c r="E27" s="106"/>
      <c r="F27" s="108"/>
      <c r="G27" s="108"/>
      <c r="H27" s="108"/>
      <c r="I27" s="108"/>
      <c r="J27" s="116">
        <v>0.29166666666666669</v>
      </c>
      <c r="K27" s="116">
        <v>0.89583333333333337</v>
      </c>
      <c r="L27" s="163"/>
      <c r="M27" s="107"/>
      <c r="N27" s="104">
        <v>1</v>
      </c>
      <c r="O27" s="105">
        <v>100000</v>
      </c>
      <c r="P27" s="118">
        <f t="shared" si="2"/>
        <v>100000</v>
      </c>
      <c r="Q27" s="147"/>
      <c r="R27" s="106"/>
      <c r="S27" s="106"/>
      <c r="T27" s="137"/>
      <c r="U27" s="106"/>
      <c r="V27" s="106"/>
      <c r="W27" s="138">
        <v>1</v>
      </c>
      <c r="X27" s="118">
        <f t="shared" si="4"/>
        <v>50000</v>
      </c>
      <c r="Y27" s="118"/>
      <c r="Z27" s="139">
        <f t="shared" si="3"/>
        <v>150000</v>
      </c>
      <c r="AB27" s="172"/>
    </row>
    <row r="28" spans="1:29" s="37" customFormat="1" ht="22.5" customHeight="1">
      <c r="A28" s="127">
        <v>45156</v>
      </c>
      <c r="B28" s="109">
        <v>132234</v>
      </c>
      <c r="C28" s="113">
        <v>132503</v>
      </c>
      <c r="D28" s="113">
        <f t="shared" si="0"/>
        <v>269</v>
      </c>
      <c r="E28" s="106"/>
      <c r="F28" s="106"/>
      <c r="G28" s="106"/>
      <c r="H28" s="106"/>
      <c r="I28" s="106"/>
      <c r="J28" s="116">
        <v>0.29166666666666669</v>
      </c>
      <c r="K28" s="169">
        <v>0</v>
      </c>
      <c r="L28" s="140">
        <v>2</v>
      </c>
      <c r="M28" s="77"/>
      <c r="N28" s="104">
        <v>1</v>
      </c>
      <c r="O28" s="105">
        <f>100000+100000</f>
        <v>200000</v>
      </c>
      <c r="P28" s="118">
        <f t="shared" si="2"/>
        <v>200000</v>
      </c>
      <c r="Q28" s="106"/>
      <c r="R28" s="106"/>
      <c r="S28" s="106"/>
      <c r="T28" s="137"/>
      <c r="U28" s="106"/>
      <c r="V28" s="106"/>
      <c r="W28" s="138">
        <v>1</v>
      </c>
      <c r="X28" s="118">
        <f t="shared" si="4"/>
        <v>50000</v>
      </c>
      <c r="Y28" s="118"/>
      <c r="Z28" s="139">
        <f t="shared" si="3"/>
        <v>250000</v>
      </c>
      <c r="AB28" s="170"/>
    </row>
    <row r="29" spans="1:29" s="37" customFormat="1" ht="22.5" customHeight="1">
      <c r="A29" s="127">
        <v>45157</v>
      </c>
      <c r="B29" s="109">
        <v>132508</v>
      </c>
      <c r="C29" s="113">
        <v>132871</v>
      </c>
      <c r="D29" s="113">
        <f t="shared" si="0"/>
        <v>363</v>
      </c>
      <c r="E29" s="106"/>
      <c r="F29" s="106"/>
      <c r="G29" s="106"/>
      <c r="H29" s="106"/>
      <c r="I29" s="106"/>
      <c r="J29" s="116">
        <v>0.29166666666666669</v>
      </c>
      <c r="K29" s="169">
        <v>0.125</v>
      </c>
      <c r="L29" s="140">
        <v>2</v>
      </c>
      <c r="M29" s="77"/>
      <c r="N29" s="104">
        <v>1</v>
      </c>
      <c r="O29" s="105">
        <f>100000+100000</f>
        <v>200000</v>
      </c>
      <c r="P29" s="118">
        <f t="shared" si="2"/>
        <v>200000</v>
      </c>
      <c r="Q29" s="178">
        <v>300000</v>
      </c>
      <c r="R29" s="106"/>
      <c r="S29" s="106"/>
      <c r="T29" s="141"/>
      <c r="U29" s="106"/>
      <c r="V29" s="106"/>
      <c r="W29" s="138"/>
      <c r="X29" s="118">
        <f t="shared" si="4"/>
        <v>0</v>
      </c>
      <c r="Y29" s="118"/>
      <c r="Z29" s="139">
        <f>SUM(I29+P29+Q29+V29+X29+Y29+T29)</f>
        <v>500000</v>
      </c>
      <c r="AB29" s="170"/>
    </row>
    <row r="30" spans="1:29" s="179" customFormat="1" ht="22.5" customHeight="1">
      <c r="A30" s="129">
        <v>45158</v>
      </c>
      <c r="B30" s="130"/>
      <c r="C30" s="131"/>
      <c r="D30" s="131">
        <f t="shared" si="0"/>
        <v>0</v>
      </c>
      <c r="E30" s="150"/>
      <c r="F30" s="150"/>
      <c r="G30" s="150"/>
      <c r="H30" s="150"/>
      <c r="I30" s="150"/>
      <c r="J30" s="72"/>
      <c r="K30" s="72"/>
      <c r="L30" s="162"/>
      <c r="M30" s="74"/>
      <c r="N30" s="133"/>
      <c r="O30" s="105">
        <v>100000</v>
      </c>
      <c r="P30" s="118">
        <f t="shared" si="2"/>
        <v>0</v>
      </c>
      <c r="Q30" s="150"/>
      <c r="R30" s="150"/>
      <c r="S30" s="150"/>
      <c r="T30" s="156"/>
      <c r="U30" s="150"/>
      <c r="V30" s="150"/>
      <c r="W30" s="154"/>
      <c r="X30" s="151">
        <f t="shared" si="4"/>
        <v>0</v>
      </c>
      <c r="Y30" s="151"/>
      <c r="Z30" s="155">
        <f t="shared" si="3"/>
        <v>0</v>
      </c>
      <c r="AB30" s="180"/>
    </row>
    <row r="31" spans="1:29" s="174" customFormat="1" ht="22.5" customHeight="1">
      <c r="A31" s="127">
        <v>45159</v>
      </c>
      <c r="B31" s="109">
        <v>132886</v>
      </c>
      <c r="C31" s="113">
        <v>133141</v>
      </c>
      <c r="D31" s="113">
        <f t="shared" si="0"/>
        <v>255</v>
      </c>
      <c r="E31" s="106"/>
      <c r="F31" s="106"/>
      <c r="G31" s="106"/>
      <c r="H31" s="106"/>
      <c r="I31" s="106"/>
      <c r="J31" s="116">
        <v>0.29166666666666669</v>
      </c>
      <c r="K31" s="116">
        <v>0.85416666666666663</v>
      </c>
      <c r="L31" s="140"/>
      <c r="M31" s="77"/>
      <c r="N31" s="104">
        <v>1</v>
      </c>
      <c r="O31" s="105">
        <v>100000</v>
      </c>
      <c r="P31" s="118">
        <f t="shared" si="2"/>
        <v>100000</v>
      </c>
      <c r="Q31" s="106"/>
      <c r="R31" s="106"/>
      <c r="S31" s="106"/>
      <c r="T31" s="137"/>
      <c r="U31" s="106"/>
      <c r="V31" s="106"/>
      <c r="W31" s="138"/>
      <c r="X31" s="118">
        <f t="shared" si="4"/>
        <v>0</v>
      </c>
      <c r="Y31" s="118"/>
      <c r="Z31" s="139">
        <f t="shared" si="3"/>
        <v>100000</v>
      </c>
      <c r="AB31" s="175"/>
    </row>
    <row r="32" spans="1:29" s="171" customFormat="1" ht="22.5" customHeight="1">
      <c r="A32" s="127">
        <v>45160</v>
      </c>
      <c r="B32" s="109">
        <v>133146</v>
      </c>
      <c r="C32" s="113">
        <v>133276</v>
      </c>
      <c r="D32" s="113">
        <f t="shared" si="0"/>
        <v>130</v>
      </c>
      <c r="E32" s="106"/>
      <c r="F32" s="106"/>
      <c r="G32" s="106"/>
      <c r="H32" s="106"/>
      <c r="I32" s="106"/>
      <c r="J32" s="116">
        <v>0.29166666666666669</v>
      </c>
      <c r="K32" s="116">
        <v>0.85416666666666663</v>
      </c>
      <c r="L32" s="140"/>
      <c r="M32" s="77"/>
      <c r="N32" s="104">
        <v>1</v>
      </c>
      <c r="O32" s="105">
        <v>100000</v>
      </c>
      <c r="P32" s="118">
        <f t="shared" si="2"/>
        <v>100000</v>
      </c>
      <c r="Q32" s="106"/>
      <c r="R32" s="106"/>
      <c r="S32" s="106"/>
      <c r="T32" s="137"/>
      <c r="U32" s="106"/>
      <c r="V32" s="106"/>
      <c r="W32" s="138"/>
      <c r="X32" s="118">
        <f t="shared" si="4"/>
        <v>0</v>
      </c>
      <c r="Y32" s="118"/>
      <c r="Z32" s="139">
        <f t="shared" si="3"/>
        <v>100000</v>
      </c>
      <c r="AB32" s="172"/>
    </row>
    <row r="33" spans="1:27" s="37" customFormat="1" ht="22.5" customHeight="1">
      <c r="A33" s="127">
        <v>45161</v>
      </c>
      <c r="B33" s="109">
        <v>133280</v>
      </c>
      <c r="C33" s="113">
        <v>133497</v>
      </c>
      <c r="D33" s="113">
        <f t="shared" si="0"/>
        <v>217</v>
      </c>
      <c r="E33" s="106"/>
      <c r="F33" s="106"/>
      <c r="G33" s="106"/>
      <c r="H33" s="106"/>
      <c r="I33" s="106"/>
      <c r="J33" s="116">
        <v>0.29166666666666669</v>
      </c>
      <c r="K33" s="116">
        <v>0.85416666666666663</v>
      </c>
      <c r="L33" s="140"/>
      <c r="M33" s="77"/>
      <c r="N33" s="104">
        <v>1</v>
      </c>
      <c r="O33" s="105">
        <v>100000</v>
      </c>
      <c r="P33" s="118">
        <f t="shared" si="2"/>
        <v>100000</v>
      </c>
      <c r="Q33" s="147"/>
      <c r="R33" s="147"/>
      <c r="S33" s="106"/>
      <c r="T33" s="141"/>
      <c r="U33" s="106"/>
      <c r="V33" s="106"/>
      <c r="W33" s="138"/>
      <c r="X33" s="118">
        <f t="shared" si="4"/>
        <v>0</v>
      </c>
      <c r="Y33" s="118"/>
      <c r="Z33" s="139">
        <f t="shared" si="3"/>
        <v>100000</v>
      </c>
    </row>
    <row r="34" spans="1:27" s="171" customFormat="1" ht="22.5" customHeight="1">
      <c r="A34" s="127">
        <v>45162</v>
      </c>
      <c r="B34" s="109">
        <v>133502</v>
      </c>
      <c r="C34" s="113">
        <v>133900</v>
      </c>
      <c r="D34" s="113">
        <f t="shared" si="0"/>
        <v>398</v>
      </c>
      <c r="E34" s="106"/>
      <c r="F34" s="108"/>
      <c r="G34" s="108"/>
      <c r="H34" s="108"/>
      <c r="I34" s="108"/>
      <c r="J34" s="169">
        <v>0.25</v>
      </c>
      <c r="K34" s="169">
        <v>0.95833333333333337</v>
      </c>
      <c r="L34" s="163">
        <f>1+1</f>
        <v>2</v>
      </c>
      <c r="M34" s="107"/>
      <c r="N34" s="104">
        <v>1</v>
      </c>
      <c r="O34" s="105">
        <f>100000+100000</f>
        <v>200000</v>
      </c>
      <c r="P34" s="118">
        <f t="shared" si="2"/>
        <v>200000</v>
      </c>
      <c r="Q34" s="106"/>
      <c r="R34" s="106"/>
      <c r="S34" s="106"/>
      <c r="T34" s="137"/>
      <c r="U34" s="106"/>
      <c r="V34" s="106"/>
      <c r="W34" s="138">
        <v>2</v>
      </c>
      <c r="X34" s="118">
        <f t="shared" si="4"/>
        <v>100000</v>
      </c>
      <c r="Y34" s="118">
        <f>70000+9000</f>
        <v>79000</v>
      </c>
      <c r="Z34" s="139">
        <f t="shared" si="3"/>
        <v>379000</v>
      </c>
    </row>
    <row r="35" spans="1:27" s="37" customFormat="1" ht="22.5" customHeight="1">
      <c r="A35" s="127">
        <v>45163</v>
      </c>
      <c r="B35" s="109">
        <v>133904</v>
      </c>
      <c r="C35" s="113">
        <v>134252</v>
      </c>
      <c r="D35" s="113">
        <f t="shared" si="0"/>
        <v>348</v>
      </c>
      <c r="E35" s="106"/>
      <c r="F35" s="106"/>
      <c r="G35" s="106"/>
      <c r="H35" s="106"/>
      <c r="I35" s="106"/>
      <c r="J35" s="116">
        <v>0.29166666666666669</v>
      </c>
      <c r="K35" s="169">
        <v>0.95833333333333337</v>
      </c>
      <c r="L35" s="140">
        <v>1</v>
      </c>
      <c r="M35" s="77"/>
      <c r="N35" s="104">
        <v>1</v>
      </c>
      <c r="O35" s="105">
        <f>50000+100000</f>
        <v>150000</v>
      </c>
      <c r="P35" s="118">
        <f t="shared" si="2"/>
        <v>150000</v>
      </c>
      <c r="Q35" s="106"/>
      <c r="R35" s="106"/>
      <c r="S35" s="106"/>
      <c r="T35" s="137"/>
      <c r="U35" s="106"/>
      <c r="V35" s="106"/>
      <c r="W35" s="138">
        <v>1</v>
      </c>
      <c r="X35" s="118">
        <f t="shared" si="4"/>
        <v>50000</v>
      </c>
      <c r="Y35" s="118">
        <f>70000+50000+13000</f>
        <v>133000</v>
      </c>
      <c r="Z35" s="139">
        <f t="shared" si="3"/>
        <v>333000</v>
      </c>
    </row>
    <row r="36" spans="1:27" s="37" customFormat="1" ht="22.5" customHeight="1">
      <c r="A36" s="127">
        <v>45164</v>
      </c>
      <c r="B36" s="109">
        <v>134259</v>
      </c>
      <c r="C36" s="113">
        <v>134493</v>
      </c>
      <c r="D36" s="113">
        <f t="shared" si="0"/>
        <v>234</v>
      </c>
      <c r="E36" s="106"/>
      <c r="F36" s="106"/>
      <c r="G36" s="106"/>
      <c r="H36" s="106"/>
      <c r="I36" s="106"/>
      <c r="J36" s="169">
        <v>0.25</v>
      </c>
      <c r="K36" s="116">
        <v>0.8125</v>
      </c>
      <c r="L36" s="140">
        <v>1</v>
      </c>
      <c r="M36" s="77"/>
      <c r="N36" s="104">
        <v>1</v>
      </c>
      <c r="O36" s="105">
        <f>50000+100000</f>
        <v>150000</v>
      </c>
      <c r="P36" s="118">
        <f t="shared" si="2"/>
        <v>150000</v>
      </c>
      <c r="Q36" s="106"/>
      <c r="R36" s="106"/>
      <c r="S36" s="106"/>
      <c r="T36" s="137"/>
      <c r="U36" s="106"/>
      <c r="V36" s="106"/>
      <c r="W36" s="138"/>
      <c r="X36" s="118">
        <f t="shared" si="4"/>
        <v>0</v>
      </c>
      <c r="Y36" s="118">
        <v>9000</v>
      </c>
      <c r="Z36" s="139">
        <f t="shared" si="3"/>
        <v>159000</v>
      </c>
    </row>
    <row r="37" spans="1:27" s="148" customFormat="1" ht="22.5" customHeight="1">
      <c r="A37" s="129">
        <v>45165</v>
      </c>
      <c r="B37" s="130"/>
      <c r="C37" s="131"/>
      <c r="D37" s="131">
        <f t="shared" si="0"/>
        <v>0</v>
      </c>
      <c r="E37" s="150"/>
      <c r="F37" s="150"/>
      <c r="G37" s="150"/>
      <c r="H37" s="150"/>
      <c r="I37" s="150"/>
      <c r="J37" s="72"/>
      <c r="K37" s="72"/>
      <c r="L37" s="162"/>
      <c r="M37" s="74"/>
      <c r="N37" s="133"/>
      <c r="O37" s="105">
        <v>100000</v>
      </c>
      <c r="P37" s="118">
        <f t="shared" si="2"/>
        <v>0</v>
      </c>
      <c r="Q37" s="152"/>
      <c r="R37" s="150"/>
      <c r="S37" s="150"/>
      <c r="T37" s="156"/>
      <c r="U37" s="150"/>
      <c r="V37" s="150"/>
      <c r="W37" s="154"/>
      <c r="X37" s="151">
        <f>W37*50000</f>
        <v>0</v>
      </c>
      <c r="Y37" s="151"/>
      <c r="Z37" s="155">
        <f t="shared" si="3"/>
        <v>0</v>
      </c>
    </row>
    <row r="38" spans="1:27" s="37" customFormat="1" ht="22.5" customHeight="1">
      <c r="A38" s="127">
        <v>45166</v>
      </c>
      <c r="B38" s="109">
        <v>134502</v>
      </c>
      <c r="C38" s="113">
        <v>134923</v>
      </c>
      <c r="D38" s="113">
        <f t="shared" si="0"/>
        <v>421</v>
      </c>
      <c r="E38" s="106"/>
      <c r="F38" s="106"/>
      <c r="G38" s="106"/>
      <c r="H38" s="106"/>
      <c r="I38" s="106"/>
      <c r="J38" s="116">
        <v>0.29166666666666669</v>
      </c>
      <c r="K38" s="116">
        <v>0.83333333333333337</v>
      </c>
      <c r="L38" s="140"/>
      <c r="M38" s="77"/>
      <c r="N38" s="104">
        <v>1</v>
      </c>
      <c r="O38" s="105">
        <v>100000</v>
      </c>
      <c r="P38" s="118">
        <f t="shared" si="2"/>
        <v>100000</v>
      </c>
      <c r="Q38" s="147"/>
      <c r="R38" s="147"/>
      <c r="S38" s="106"/>
      <c r="T38" s="141"/>
      <c r="U38" s="106"/>
      <c r="V38" s="106"/>
      <c r="W38" s="138">
        <v>1</v>
      </c>
      <c r="X38" s="118">
        <f t="shared" ref="X38" si="5">W38*50000</f>
        <v>50000</v>
      </c>
      <c r="Y38" s="118">
        <v>490000</v>
      </c>
      <c r="Z38" s="139">
        <f t="shared" si="3"/>
        <v>640000</v>
      </c>
    </row>
    <row r="39" spans="1:27" s="171" customFormat="1" ht="22.5" customHeight="1">
      <c r="A39" s="127">
        <v>45167</v>
      </c>
      <c r="B39" s="109">
        <v>134928</v>
      </c>
      <c r="C39" s="37">
        <v>135198</v>
      </c>
      <c r="D39" s="113">
        <f t="shared" si="0"/>
        <v>270</v>
      </c>
      <c r="E39" s="106"/>
      <c r="F39" s="106"/>
      <c r="G39" s="106"/>
      <c r="H39" s="106"/>
      <c r="I39" s="106"/>
      <c r="J39" s="116">
        <v>0.29166666666666669</v>
      </c>
      <c r="K39" s="116">
        <v>0.85416666666666663</v>
      </c>
      <c r="L39" s="140"/>
      <c r="M39" s="77"/>
      <c r="N39" s="104">
        <v>1</v>
      </c>
      <c r="O39" s="105">
        <v>100000</v>
      </c>
      <c r="P39" s="118">
        <f t="shared" si="2"/>
        <v>100000</v>
      </c>
      <c r="Q39" s="147"/>
      <c r="R39" s="106"/>
      <c r="S39" s="106"/>
      <c r="T39" s="141"/>
      <c r="U39" s="106"/>
      <c r="V39" s="106"/>
      <c r="W39" s="138"/>
      <c r="X39" s="118">
        <f t="shared" si="4"/>
        <v>0</v>
      </c>
      <c r="Y39" s="118"/>
      <c r="Z39" s="139">
        <f t="shared" si="3"/>
        <v>100000</v>
      </c>
    </row>
    <row r="40" spans="1:27" s="37" customFormat="1" ht="22.5" customHeight="1">
      <c r="A40" s="127">
        <v>45168</v>
      </c>
      <c r="B40" s="109">
        <v>135202</v>
      </c>
      <c r="C40" s="113">
        <v>135367</v>
      </c>
      <c r="D40" s="113">
        <f t="shared" si="0"/>
        <v>165</v>
      </c>
      <c r="E40" s="106"/>
      <c r="F40" s="106"/>
      <c r="G40" s="106"/>
      <c r="H40" s="106"/>
      <c r="I40" s="106"/>
      <c r="J40" s="116">
        <v>0.29166666666666669</v>
      </c>
      <c r="K40" s="116">
        <v>0.85416666666666663</v>
      </c>
      <c r="L40" s="176"/>
      <c r="M40" s="77"/>
      <c r="N40" s="104">
        <v>1</v>
      </c>
      <c r="O40" s="105">
        <v>100000</v>
      </c>
      <c r="P40" s="118">
        <f t="shared" si="2"/>
        <v>100000</v>
      </c>
      <c r="Q40" s="106"/>
      <c r="R40" s="177"/>
      <c r="S40" s="106"/>
      <c r="T40" s="141"/>
      <c r="U40" s="106"/>
      <c r="V40" s="106"/>
      <c r="W40" s="138"/>
      <c r="X40" s="118">
        <f t="shared" si="4"/>
        <v>0</v>
      </c>
      <c r="Y40" s="118"/>
      <c r="Z40" s="139">
        <f t="shared" si="3"/>
        <v>100000</v>
      </c>
      <c r="AA40" s="37" t="s">
        <v>81</v>
      </c>
    </row>
    <row r="41" spans="1:27" s="145" customFormat="1" ht="22.5" customHeight="1">
      <c r="A41" s="127">
        <v>45169</v>
      </c>
      <c r="B41" s="109"/>
      <c r="C41" s="113"/>
      <c r="D41" s="113">
        <v>112</v>
      </c>
      <c r="E41" s="108"/>
      <c r="F41" s="108"/>
      <c r="G41" s="108"/>
      <c r="H41" s="108"/>
      <c r="I41" s="108"/>
      <c r="J41" s="116">
        <v>0.29166666666666669</v>
      </c>
      <c r="K41" s="116">
        <v>0.85416666666666663</v>
      </c>
      <c r="L41" s="163"/>
      <c r="M41" s="107"/>
      <c r="N41" s="104">
        <v>1</v>
      </c>
      <c r="O41" s="105">
        <v>100000</v>
      </c>
      <c r="P41" s="118">
        <f t="shared" si="2"/>
        <v>100000</v>
      </c>
      <c r="Q41" s="106"/>
      <c r="R41" s="106"/>
      <c r="S41" s="106"/>
      <c r="T41" s="137"/>
      <c r="U41" s="106"/>
      <c r="V41" s="106"/>
      <c r="W41" s="138"/>
      <c r="X41" s="118">
        <f t="shared" si="4"/>
        <v>0</v>
      </c>
      <c r="Y41" s="118"/>
      <c r="Z41" s="139">
        <f t="shared" si="3"/>
        <v>100000</v>
      </c>
      <c r="AA41" s="146"/>
    </row>
    <row r="42" spans="1:27" s="53" customFormat="1" ht="22.5" customHeight="1">
      <c r="A42" s="45"/>
      <c r="B42" s="142"/>
      <c r="C42" s="142"/>
      <c r="D42" s="120">
        <f>SUM(D11:D41)</f>
        <v>6431</v>
      </c>
      <c r="E42" s="120">
        <f>SUM(E11:E41)</f>
        <v>0</v>
      </c>
      <c r="F42" s="125">
        <f>SUM(F10:F41)</f>
        <v>25000000</v>
      </c>
      <c r="G42" s="125">
        <f>SUM(G10:G41)</f>
        <v>3431</v>
      </c>
      <c r="H42" s="125">
        <f>SUM(H10:H41)</f>
        <v>6500</v>
      </c>
      <c r="I42" s="125">
        <f>SUM(I10:I41)</f>
        <v>22301500</v>
      </c>
      <c r="J42" s="119"/>
      <c r="K42" s="119"/>
      <c r="L42" s="164">
        <f>SUM(L11:L41)</f>
        <v>14</v>
      </c>
      <c r="M42" s="120">
        <f t="shared" ref="M42" si="6">SUM(M11:M41)</f>
        <v>0</v>
      </c>
      <c r="N42" s="120">
        <f>SUM(N11:N41)</f>
        <v>26</v>
      </c>
      <c r="O42" s="121"/>
      <c r="P42" s="125">
        <f>SUM(P10:P41)</f>
        <v>3300000</v>
      </c>
      <c r="Q42" s="125">
        <f t="shared" ref="Q42:V42" si="7">SUM(Q10:Q41)</f>
        <v>300000</v>
      </c>
      <c r="R42" s="143">
        <f>SUM(R10:R41)</f>
        <v>2.5</v>
      </c>
      <c r="S42" s="125">
        <f t="shared" si="7"/>
        <v>125000</v>
      </c>
      <c r="T42" s="125">
        <f t="shared" si="7"/>
        <v>312500</v>
      </c>
      <c r="U42" s="125">
        <f t="shared" si="7"/>
        <v>0</v>
      </c>
      <c r="V42" s="125">
        <f t="shared" si="7"/>
        <v>0</v>
      </c>
      <c r="W42" s="125">
        <f>SUM(W10:W41)</f>
        <v>9</v>
      </c>
      <c r="X42" s="125">
        <f>SUM(X10:X41)</f>
        <v>450000</v>
      </c>
      <c r="Y42" s="125">
        <f>SUM(Y10:Y41)</f>
        <v>971000</v>
      </c>
      <c r="Z42" s="144">
        <f>SUM(Z10:Z41)</f>
        <v>52635000</v>
      </c>
      <c r="AA42" s="112"/>
    </row>
    <row r="43" spans="1:27" s="37" customFormat="1" ht="9.75" customHeight="1">
      <c r="A43" s="54"/>
      <c r="B43" s="54"/>
      <c r="C43" s="54"/>
      <c r="D43" s="55"/>
      <c r="E43" s="56"/>
      <c r="F43" s="56"/>
      <c r="G43" s="56"/>
      <c r="H43" s="56"/>
      <c r="I43" s="56"/>
      <c r="J43" s="168"/>
      <c r="K43" s="168"/>
      <c r="L43" s="60"/>
      <c r="M43" s="56"/>
      <c r="N43" s="57"/>
      <c r="O43" s="58"/>
      <c r="P43" s="59"/>
      <c r="Q43" s="56"/>
      <c r="R43" s="56"/>
      <c r="S43" s="56"/>
      <c r="T43" s="60"/>
      <c r="U43" s="56"/>
      <c r="V43" s="56"/>
      <c r="W43" s="61"/>
      <c r="X43" s="59"/>
      <c r="Y43" s="59"/>
      <c r="Z43" s="59"/>
    </row>
    <row r="44" spans="1:27" ht="13.5" customHeight="1">
      <c r="A44" s="303" t="str">
        <f>A1</f>
        <v>CÔNG TY TNHH 98 AN PHÁT</v>
      </c>
      <c r="B44" s="304"/>
      <c r="C44" s="304"/>
      <c r="D44" s="304"/>
      <c r="E44" s="304"/>
      <c r="F44" s="304"/>
      <c r="G44" s="304"/>
      <c r="H44" s="304"/>
      <c r="I44" s="304"/>
      <c r="J44" s="304"/>
      <c r="K44" s="304"/>
      <c r="L44" s="304"/>
      <c r="M44" s="304"/>
      <c r="N44" s="304"/>
      <c r="O44" s="304" t="s">
        <v>32</v>
      </c>
      <c r="P44" s="304"/>
      <c r="Q44" s="304"/>
      <c r="R44" s="304"/>
      <c r="S44" s="304"/>
      <c r="T44" s="304"/>
      <c r="U44" s="304"/>
      <c r="V44" s="304"/>
      <c r="W44" s="304"/>
      <c r="X44" s="304"/>
      <c r="Y44" s="304"/>
      <c r="Z44" s="304"/>
      <c r="AA44" s="62"/>
    </row>
    <row r="45" spans="1:27">
      <c r="U45" s="305"/>
      <c r="V45" s="306"/>
      <c r="W45" s="306"/>
      <c r="X45" s="306"/>
      <c r="Y45" s="306"/>
      <c r="Z45" s="306"/>
      <c r="AA45" s="62"/>
    </row>
    <row r="47" spans="1:27">
      <c r="C47" s="136"/>
      <c r="H47" s="135"/>
    </row>
    <row r="48" spans="1:27">
      <c r="D48" s="63"/>
      <c r="F48" s="63"/>
      <c r="P48" s="62"/>
    </row>
    <row r="50" spans="4:4">
      <c r="D50" s="63"/>
    </row>
  </sheetData>
  <sheetProtection selectLockedCells="1" selectUnlockedCells="1"/>
  <autoFilter ref="A9:CN42" xr:uid="{00000000-0009-0000-0000-000007000000}"/>
  <mergeCells count="27">
    <mergeCell ref="A5:Z5"/>
    <mergeCell ref="A1:J1"/>
    <mergeCell ref="P1:Z1"/>
    <mergeCell ref="P2:Z2"/>
    <mergeCell ref="A3:Z3"/>
    <mergeCell ref="A4:Z4"/>
    <mergeCell ref="A6:Z6"/>
    <mergeCell ref="V7:Z7"/>
    <mergeCell ref="A8:A9"/>
    <mergeCell ref="B8:B9"/>
    <mergeCell ref="C8:C9"/>
    <mergeCell ref="D8:D9"/>
    <mergeCell ref="E8:F8"/>
    <mergeCell ref="G8:I8"/>
    <mergeCell ref="J8:J9"/>
    <mergeCell ref="K8:K9"/>
    <mergeCell ref="Z8:Z9"/>
    <mergeCell ref="L8:L9"/>
    <mergeCell ref="A44:N44"/>
    <mergeCell ref="O44:Z44"/>
    <mergeCell ref="U45:Z45"/>
    <mergeCell ref="N8:P8"/>
    <mergeCell ref="Q8:Q9"/>
    <mergeCell ref="R8:T8"/>
    <mergeCell ref="U8:V8"/>
    <mergeCell ref="W8:X8"/>
    <mergeCell ref="Y8:Y9"/>
  </mergeCells>
  <phoneticPr fontId="30" type="noConversion"/>
  <pageMargins left="0" right="0.25" top="0.23622047244094499" bottom="0" header="0" footer="0"/>
  <pageSetup paperSize="9" scale="51" orientation="landscape" r:id="rId1"/>
  <colBreaks count="1" manualBreakCount="1">
    <brk id="26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B45"/>
  <sheetViews>
    <sheetView view="pageBreakPreview" topLeftCell="A20" zoomScale="85" zoomScaleNormal="85" zoomScaleSheetLayoutView="85" workbookViewId="0">
      <selection activeCell="C48" sqref="C48"/>
    </sheetView>
  </sheetViews>
  <sheetFormatPr defaultColWidth="9.28515625" defaultRowHeight="15"/>
  <cols>
    <col min="1" max="1" width="11.28515625" style="36" customWidth="1"/>
    <col min="2" max="3" width="8.140625" style="36" customWidth="1"/>
    <col min="4" max="4" width="8.140625" style="34" customWidth="1"/>
    <col min="5" max="5" width="7.28515625" style="34" customWidth="1"/>
    <col min="6" max="6" width="15.85546875" style="34" customWidth="1"/>
    <col min="7" max="7" width="11.140625" style="34" customWidth="1"/>
    <col min="8" max="8" width="11" style="34" customWidth="1"/>
    <col min="9" max="9" width="15.140625" style="34" customWidth="1"/>
    <col min="10" max="11" width="8.28515625" style="34" customWidth="1"/>
    <col min="12" max="13" width="3.28515625" style="34" hidden="1" customWidth="1"/>
    <col min="14" max="14" width="7.85546875" style="34" customWidth="1"/>
    <col min="15" max="15" width="9.7109375" style="35" customWidth="1"/>
    <col min="16" max="16" width="14.28515625" style="34" customWidth="1"/>
    <col min="17" max="18" width="8" style="34" customWidth="1"/>
    <col min="19" max="19" width="13.28515625" style="34" customWidth="1"/>
    <col min="20" max="20" width="15.28515625" style="34" customWidth="1"/>
    <col min="21" max="21" width="12.7109375" style="34" customWidth="1"/>
    <col min="22" max="22" width="9.28515625" style="34" customWidth="1"/>
    <col min="23" max="23" width="9.28515625" style="63" customWidth="1"/>
    <col min="24" max="24" width="13.140625" style="34" customWidth="1"/>
    <col min="25" max="26" width="16.28515625" style="34" customWidth="1"/>
    <col min="27" max="27" width="33.28515625" style="34" customWidth="1"/>
    <col min="28" max="16384" width="9.28515625" style="34"/>
  </cols>
  <sheetData>
    <row r="1" spans="1:28" s="33" customFormat="1" ht="15.75">
      <c r="A1" s="326" t="s">
        <v>68</v>
      </c>
      <c r="B1" s="327"/>
      <c r="C1" s="327"/>
      <c r="D1" s="327"/>
      <c r="E1" s="327"/>
      <c r="F1" s="327"/>
      <c r="G1" s="327"/>
      <c r="H1" s="327"/>
      <c r="I1" s="327"/>
      <c r="J1" s="327"/>
      <c r="O1" s="32"/>
      <c r="P1" s="316" t="s">
        <v>0</v>
      </c>
      <c r="Q1" s="316"/>
      <c r="R1" s="316"/>
      <c r="S1" s="316"/>
      <c r="T1" s="316"/>
      <c r="U1" s="316"/>
      <c r="V1" s="316"/>
      <c r="W1" s="316"/>
      <c r="X1" s="316"/>
      <c r="Y1" s="316"/>
      <c r="Z1" s="316"/>
    </row>
    <row r="2" spans="1:28" s="33" customFormat="1" ht="15.75">
      <c r="A2" s="110" t="s">
        <v>69</v>
      </c>
      <c r="B2" s="110"/>
      <c r="C2" s="110"/>
      <c r="D2" s="111"/>
      <c r="E2" s="110"/>
      <c r="F2" s="110"/>
      <c r="G2" s="110"/>
      <c r="H2" s="110"/>
      <c r="I2" s="110"/>
      <c r="J2" s="110"/>
      <c r="K2" s="34"/>
      <c r="L2" s="34"/>
      <c r="M2" s="34"/>
      <c r="N2" s="34"/>
      <c r="O2" s="35"/>
      <c r="P2" s="316" t="s">
        <v>1</v>
      </c>
      <c r="Q2" s="316"/>
      <c r="R2" s="316"/>
      <c r="S2" s="316"/>
      <c r="T2" s="316"/>
      <c r="U2" s="316"/>
      <c r="V2" s="316"/>
      <c r="W2" s="316"/>
      <c r="X2" s="316"/>
      <c r="Y2" s="316"/>
      <c r="Z2" s="316"/>
    </row>
    <row r="3" spans="1:28" s="33" customFormat="1" ht="29.25" customHeight="1">
      <c r="A3" s="321" t="s">
        <v>3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</row>
    <row r="4" spans="1:28" s="33" customFormat="1" ht="32.25" customHeight="1">
      <c r="A4" s="321" t="s">
        <v>73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316"/>
    </row>
    <row r="5" spans="1:28" s="33" customFormat="1" ht="15.75">
      <c r="A5" s="315" t="s">
        <v>35</v>
      </c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  <c r="W5" s="315"/>
      <c r="X5" s="315"/>
      <c r="Y5" s="315"/>
      <c r="Z5" s="315"/>
    </row>
    <row r="6" spans="1:28" s="33" customFormat="1" ht="15.75">
      <c r="A6" s="316" t="s">
        <v>31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  <c r="Y6" s="316"/>
      <c r="Z6" s="316"/>
    </row>
    <row r="7" spans="1:28" ht="12" hidden="1" customHeight="1">
      <c r="V7" s="317" t="s">
        <v>2</v>
      </c>
      <c r="W7" s="317"/>
      <c r="X7" s="317"/>
      <c r="Y7" s="317"/>
      <c r="Z7" s="317"/>
    </row>
    <row r="8" spans="1:28" s="37" customFormat="1" ht="50.25" customHeight="1">
      <c r="A8" s="318" t="s">
        <v>4</v>
      </c>
      <c r="B8" s="318" t="s">
        <v>27</v>
      </c>
      <c r="C8" s="318" t="s">
        <v>28</v>
      </c>
      <c r="D8" s="307" t="s">
        <v>5</v>
      </c>
      <c r="E8" s="312" t="s">
        <v>6</v>
      </c>
      <c r="F8" s="312"/>
      <c r="G8" s="312" t="s">
        <v>7</v>
      </c>
      <c r="H8" s="312"/>
      <c r="I8" s="312"/>
      <c r="J8" s="307" t="s">
        <v>13</v>
      </c>
      <c r="K8" s="307" t="s">
        <v>14</v>
      </c>
      <c r="L8" s="68"/>
      <c r="M8" s="68"/>
      <c r="N8" s="309" t="s">
        <v>15</v>
      </c>
      <c r="O8" s="310"/>
      <c r="P8" s="311"/>
      <c r="Q8" s="307" t="s">
        <v>18</v>
      </c>
      <c r="R8" s="312" t="s">
        <v>19</v>
      </c>
      <c r="S8" s="312"/>
      <c r="T8" s="312"/>
      <c r="U8" s="324" t="s">
        <v>22</v>
      </c>
      <c r="V8" s="325"/>
      <c r="W8" s="313" t="s">
        <v>23</v>
      </c>
      <c r="X8" s="314"/>
      <c r="Y8" s="307" t="s">
        <v>25</v>
      </c>
      <c r="Z8" s="307" t="s">
        <v>26</v>
      </c>
      <c r="AA8" s="122"/>
    </row>
    <row r="9" spans="1:28" s="37" customFormat="1" ht="64.5" customHeight="1">
      <c r="A9" s="319"/>
      <c r="B9" s="320"/>
      <c r="C9" s="320"/>
      <c r="D9" s="308"/>
      <c r="E9" s="67" t="s">
        <v>8</v>
      </c>
      <c r="F9" s="67" t="s">
        <v>9</v>
      </c>
      <c r="G9" s="67" t="s">
        <v>10</v>
      </c>
      <c r="H9" s="67" t="s">
        <v>11</v>
      </c>
      <c r="I9" s="67" t="s">
        <v>12</v>
      </c>
      <c r="J9" s="308"/>
      <c r="K9" s="308"/>
      <c r="L9" s="66"/>
      <c r="M9" s="66"/>
      <c r="N9" s="67" t="s">
        <v>16</v>
      </c>
      <c r="O9" s="67" t="s">
        <v>11</v>
      </c>
      <c r="P9" s="67" t="s">
        <v>17</v>
      </c>
      <c r="Q9" s="308"/>
      <c r="R9" s="67" t="s">
        <v>16</v>
      </c>
      <c r="S9" s="67" t="s">
        <v>11</v>
      </c>
      <c r="T9" s="67" t="s">
        <v>12</v>
      </c>
      <c r="U9" s="67" t="s">
        <v>11</v>
      </c>
      <c r="V9" s="67" t="s">
        <v>12</v>
      </c>
      <c r="W9" s="38" t="s">
        <v>24</v>
      </c>
      <c r="X9" s="67" t="s">
        <v>12</v>
      </c>
      <c r="Y9" s="308"/>
      <c r="Z9" s="308"/>
    </row>
    <row r="10" spans="1:28" s="37" customFormat="1" ht="22.5" customHeight="1">
      <c r="A10" s="39"/>
      <c r="B10" s="39"/>
      <c r="C10" s="39"/>
      <c r="D10" s="40"/>
      <c r="E10" s="41">
        <v>3000</v>
      </c>
      <c r="F10" s="41">
        <v>25000000</v>
      </c>
      <c r="G10" s="41"/>
      <c r="H10" s="41">
        <v>6500</v>
      </c>
      <c r="I10" s="41">
        <f>G10*H10</f>
        <v>0</v>
      </c>
      <c r="J10" s="116"/>
      <c r="K10" s="116"/>
      <c r="L10" s="41"/>
      <c r="M10" s="41"/>
      <c r="N10" s="40">
        <v>1</v>
      </c>
      <c r="O10" s="117"/>
      <c r="P10" s="41"/>
      <c r="Q10" s="41">
        <v>0</v>
      </c>
      <c r="R10" s="41"/>
      <c r="S10" s="41"/>
      <c r="T10" s="40"/>
      <c r="U10" s="41">
        <v>0</v>
      </c>
      <c r="V10" s="41">
        <f>T10*U10</f>
        <v>0</v>
      </c>
      <c r="W10" s="43"/>
      <c r="X10" s="41"/>
      <c r="Y10" s="41"/>
      <c r="Z10" s="44">
        <f>F10+I10+P10+Q10+S10+V10+X10+Y10</f>
        <v>25000000</v>
      </c>
    </row>
    <row r="11" spans="1:28" s="15" customFormat="1" ht="22.5" customHeight="1">
      <c r="A11" s="127">
        <v>44927</v>
      </c>
      <c r="B11" s="109"/>
      <c r="C11" s="113"/>
      <c r="D11" s="113">
        <v>0</v>
      </c>
      <c r="E11" s="106"/>
      <c r="F11" s="106"/>
      <c r="G11" s="106"/>
      <c r="H11" s="106"/>
      <c r="I11" s="106"/>
      <c r="J11" s="116">
        <v>0</v>
      </c>
      <c r="K11" s="116">
        <v>0</v>
      </c>
      <c r="L11" s="107">
        <f t="shared" ref="L11:L41" si="0">IF(("7:00"-J11)&lt;=0,0,("7:00"-J11))</f>
        <v>0.29166666666666669</v>
      </c>
      <c r="M11" s="107">
        <f t="shared" ref="M11:M40" si="1">IF((K11-"18:00")&lt;=0,0,(K11-"18:00"))</f>
        <v>0</v>
      </c>
      <c r="N11" s="104">
        <v>0</v>
      </c>
      <c r="O11" s="105">
        <v>100000</v>
      </c>
      <c r="P11" s="118">
        <f>N11*O11</f>
        <v>0</v>
      </c>
      <c r="Q11" s="20"/>
      <c r="R11" s="20"/>
      <c r="S11" s="20"/>
      <c r="T11" s="26"/>
      <c r="U11" s="20"/>
      <c r="V11" s="20"/>
      <c r="W11" s="27"/>
      <c r="X11" s="25">
        <f>W11*50000</f>
        <v>0</v>
      </c>
      <c r="Y11" s="25"/>
      <c r="Z11" s="28">
        <f>SUM(I11+P11+Q11+V11+X11+Y11+T11)</f>
        <v>0</v>
      </c>
      <c r="AB11" s="16"/>
    </row>
    <row r="12" spans="1:28" s="1" customFormat="1" ht="22.5" customHeight="1">
      <c r="A12" s="127">
        <v>44928</v>
      </c>
      <c r="B12" s="109"/>
      <c r="C12" s="113"/>
      <c r="D12" s="113">
        <v>0</v>
      </c>
      <c r="E12" s="106"/>
      <c r="F12" s="106"/>
      <c r="G12" s="106"/>
      <c r="H12" s="106"/>
      <c r="I12" s="106"/>
      <c r="J12" s="116">
        <v>0</v>
      </c>
      <c r="K12" s="116">
        <v>0</v>
      </c>
      <c r="L12" s="107">
        <f t="shared" si="0"/>
        <v>0.29166666666666669</v>
      </c>
      <c r="M12" s="107">
        <f t="shared" si="1"/>
        <v>0</v>
      </c>
      <c r="N12" s="104">
        <v>0</v>
      </c>
      <c r="O12" s="105">
        <v>100000</v>
      </c>
      <c r="P12" s="118">
        <f t="shared" ref="P12:P41" si="2">N12*O12</f>
        <v>0</v>
      </c>
      <c r="Q12" s="20"/>
      <c r="R12" s="20"/>
      <c r="S12" s="20"/>
      <c r="T12" s="26"/>
      <c r="U12" s="20"/>
      <c r="V12" s="20"/>
      <c r="W12" s="27"/>
      <c r="X12" s="25">
        <f>W12*50000</f>
        <v>0</v>
      </c>
      <c r="Y12" s="25"/>
      <c r="Z12" s="28">
        <f t="shared" ref="Z12:Z40" si="3">SUM(I12+P12+Q12+V12+X12+Y12+T12)</f>
        <v>0</v>
      </c>
      <c r="AB12" s="2"/>
    </row>
    <row r="13" spans="1:28" s="1" customFormat="1" ht="22.5" customHeight="1">
      <c r="A13" s="127">
        <v>44929</v>
      </c>
      <c r="B13" s="109">
        <v>81034</v>
      </c>
      <c r="C13" s="113">
        <v>81149</v>
      </c>
      <c r="D13" s="113">
        <f>C13-B13</f>
        <v>115</v>
      </c>
      <c r="E13" s="106"/>
      <c r="F13" s="106"/>
      <c r="G13" s="106"/>
      <c r="H13" s="106"/>
      <c r="I13" s="106"/>
      <c r="J13" s="116">
        <v>0.3125</v>
      </c>
      <c r="K13" s="116">
        <v>0.85416666666666663</v>
      </c>
      <c r="L13" s="77">
        <f t="shared" si="0"/>
        <v>0</v>
      </c>
      <c r="M13" s="77">
        <f t="shared" si="1"/>
        <v>0.10416666666666663</v>
      </c>
      <c r="N13" s="104">
        <v>1</v>
      </c>
      <c r="O13" s="105">
        <v>100000</v>
      </c>
      <c r="P13" s="118">
        <f t="shared" si="2"/>
        <v>100000</v>
      </c>
      <c r="Q13" s="20"/>
      <c r="R13" s="20"/>
      <c r="S13" s="20"/>
      <c r="T13" s="26"/>
      <c r="U13" s="20"/>
      <c r="V13" s="20"/>
      <c r="W13" s="27"/>
      <c r="X13" s="25">
        <f t="shared" ref="X13:X18" si="4">W13*50000</f>
        <v>0</v>
      </c>
      <c r="Y13" s="25"/>
      <c r="Z13" s="28">
        <f t="shared" si="3"/>
        <v>100000</v>
      </c>
      <c r="AB13" s="2"/>
    </row>
    <row r="14" spans="1:28" s="1" customFormat="1" ht="22.5" customHeight="1">
      <c r="A14" s="127">
        <v>44930</v>
      </c>
      <c r="B14" s="109">
        <v>81154</v>
      </c>
      <c r="C14" s="113">
        <v>81235</v>
      </c>
      <c r="D14" s="113">
        <f t="shared" ref="D14:D41" si="5">C14-B14</f>
        <v>81</v>
      </c>
      <c r="E14" s="106"/>
      <c r="F14" s="106"/>
      <c r="G14" s="106"/>
      <c r="H14" s="106"/>
      <c r="I14" s="106"/>
      <c r="J14" s="116">
        <v>0.3125</v>
      </c>
      <c r="K14" s="116">
        <v>0.85416666666666663</v>
      </c>
      <c r="L14" s="77">
        <f t="shared" si="0"/>
        <v>0</v>
      </c>
      <c r="M14" s="77">
        <f t="shared" si="1"/>
        <v>0.10416666666666663</v>
      </c>
      <c r="N14" s="104">
        <v>1</v>
      </c>
      <c r="O14" s="105">
        <v>100000</v>
      </c>
      <c r="P14" s="118">
        <f t="shared" si="2"/>
        <v>100000</v>
      </c>
      <c r="Q14" s="20"/>
      <c r="R14" s="20"/>
      <c r="S14" s="20"/>
      <c r="T14" s="29"/>
      <c r="U14" s="20"/>
      <c r="V14" s="20"/>
      <c r="W14" s="27"/>
      <c r="X14" s="25">
        <f t="shared" si="4"/>
        <v>0</v>
      </c>
      <c r="Y14" s="25"/>
      <c r="Z14" s="28">
        <f t="shared" si="3"/>
        <v>100000</v>
      </c>
      <c r="AB14" s="2"/>
    </row>
    <row r="15" spans="1:28" s="1" customFormat="1" ht="22.5" customHeight="1">
      <c r="A15" s="127">
        <v>44931</v>
      </c>
      <c r="B15" s="109">
        <v>81239</v>
      </c>
      <c r="C15" s="113">
        <v>81370</v>
      </c>
      <c r="D15" s="113">
        <f t="shared" si="5"/>
        <v>131</v>
      </c>
      <c r="E15" s="106"/>
      <c r="F15" s="106"/>
      <c r="G15" s="106"/>
      <c r="H15" s="106"/>
      <c r="I15" s="106"/>
      <c r="J15" s="116">
        <v>0.3125</v>
      </c>
      <c r="K15" s="116">
        <v>0.85416666666666663</v>
      </c>
      <c r="L15" s="77">
        <f t="shared" si="0"/>
        <v>0</v>
      </c>
      <c r="M15" s="77">
        <f t="shared" si="1"/>
        <v>0.10416666666666663</v>
      </c>
      <c r="N15" s="104">
        <v>1</v>
      </c>
      <c r="O15" s="105">
        <v>100000</v>
      </c>
      <c r="P15" s="118">
        <f t="shared" si="2"/>
        <v>100000</v>
      </c>
      <c r="Q15" s="20"/>
      <c r="R15" s="20"/>
      <c r="S15" s="20"/>
      <c r="T15" s="26"/>
      <c r="U15" s="20"/>
      <c r="V15" s="20"/>
      <c r="W15" s="27"/>
      <c r="X15" s="25">
        <f t="shared" si="4"/>
        <v>0</v>
      </c>
      <c r="Y15" s="25"/>
      <c r="Z15" s="28">
        <f t="shared" si="3"/>
        <v>100000</v>
      </c>
      <c r="AB15" s="2"/>
    </row>
    <row r="16" spans="1:28" s="1" customFormat="1" ht="22.5" customHeight="1">
      <c r="A16" s="127">
        <v>44932</v>
      </c>
      <c r="B16" s="109">
        <v>81374</v>
      </c>
      <c r="C16" s="113">
        <v>81424</v>
      </c>
      <c r="D16" s="113">
        <f t="shared" si="5"/>
        <v>50</v>
      </c>
      <c r="E16" s="106"/>
      <c r="F16" s="106"/>
      <c r="G16" s="106"/>
      <c r="H16" s="106"/>
      <c r="I16" s="106"/>
      <c r="J16" s="116">
        <v>0.3125</v>
      </c>
      <c r="K16" s="116">
        <v>0.85416666666666663</v>
      </c>
      <c r="L16" s="77">
        <f t="shared" si="0"/>
        <v>0</v>
      </c>
      <c r="M16" s="77">
        <f t="shared" si="1"/>
        <v>0.10416666666666663</v>
      </c>
      <c r="N16" s="104">
        <v>1</v>
      </c>
      <c r="O16" s="105">
        <v>100000</v>
      </c>
      <c r="P16" s="118">
        <f t="shared" si="2"/>
        <v>100000</v>
      </c>
      <c r="Q16" s="20"/>
      <c r="R16" s="20"/>
      <c r="S16" s="20"/>
      <c r="T16" s="29"/>
      <c r="U16" s="20"/>
      <c r="V16" s="20"/>
      <c r="W16" s="27"/>
      <c r="X16" s="25">
        <f t="shared" si="4"/>
        <v>0</v>
      </c>
      <c r="Y16" s="25"/>
      <c r="Z16" s="28">
        <f t="shared" si="3"/>
        <v>100000</v>
      </c>
      <c r="AB16" s="2"/>
    </row>
    <row r="17" spans="1:28" s="1" customFormat="1" ht="22.5" customHeight="1">
      <c r="A17" s="127">
        <v>44933</v>
      </c>
      <c r="B17" s="109">
        <v>81429</v>
      </c>
      <c r="C17" s="113">
        <v>81533</v>
      </c>
      <c r="D17" s="113">
        <f t="shared" si="5"/>
        <v>104</v>
      </c>
      <c r="E17" s="106"/>
      <c r="F17" s="106"/>
      <c r="G17" s="106"/>
      <c r="H17" s="106"/>
      <c r="I17" s="106"/>
      <c r="J17" s="116">
        <v>0.3125</v>
      </c>
      <c r="K17" s="116">
        <v>0.8125</v>
      </c>
      <c r="L17" s="77">
        <f t="shared" si="0"/>
        <v>0</v>
      </c>
      <c r="M17" s="77">
        <f t="shared" si="1"/>
        <v>6.25E-2</v>
      </c>
      <c r="N17" s="104">
        <v>1</v>
      </c>
      <c r="O17" s="105">
        <v>100000</v>
      </c>
      <c r="P17" s="118">
        <f t="shared" si="2"/>
        <v>100000</v>
      </c>
      <c r="Q17" s="20"/>
      <c r="R17" s="20"/>
      <c r="S17" s="20"/>
      <c r="T17" s="26"/>
      <c r="U17" s="20"/>
      <c r="V17" s="20"/>
      <c r="W17" s="27"/>
      <c r="X17" s="25">
        <f>W17*50000</f>
        <v>0</v>
      </c>
      <c r="Y17" s="25"/>
      <c r="Z17" s="28">
        <f t="shared" si="3"/>
        <v>100000</v>
      </c>
      <c r="AB17" s="2"/>
    </row>
    <row r="18" spans="1:28" s="15" customFormat="1" ht="22.5" customHeight="1">
      <c r="A18" s="129">
        <v>44934</v>
      </c>
      <c r="B18" s="109">
        <v>81539</v>
      </c>
      <c r="C18" s="113">
        <v>81835</v>
      </c>
      <c r="D18" s="113">
        <f t="shared" si="5"/>
        <v>296</v>
      </c>
      <c r="E18" s="106"/>
      <c r="F18" s="106"/>
      <c r="G18" s="106"/>
      <c r="H18" s="106"/>
      <c r="I18" s="106"/>
      <c r="J18" s="72">
        <v>0.25</v>
      </c>
      <c r="K18" s="72">
        <v>0.47916666666666669</v>
      </c>
      <c r="L18" s="74">
        <f t="shared" si="0"/>
        <v>4.1666666666666685E-2</v>
      </c>
      <c r="M18" s="74">
        <f t="shared" si="1"/>
        <v>0</v>
      </c>
      <c r="N18" s="133">
        <v>0</v>
      </c>
      <c r="O18" s="134">
        <f>+(1.5*50000)</f>
        <v>75000</v>
      </c>
      <c r="P18" s="118">
        <f>O18</f>
        <v>75000</v>
      </c>
      <c r="Q18" s="20"/>
      <c r="R18" s="20">
        <v>4</v>
      </c>
      <c r="S18" s="20">
        <f>1000000/8</f>
        <v>125000</v>
      </c>
      <c r="T18" s="123">
        <f>R18*S18</f>
        <v>500000</v>
      </c>
      <c r="U18" s="20"/>
      <c r="V18" s="20"/>
      <c r="W18" s="27"/>
      <c r="X18" s="25">
        <f t="shared" si="4"/>
        <v>0</v>
      </c>
      <c r="Y18" s="25">
        <v>270000</v>
      </c>
      <c r="Z18" s="28">
        <f t="shared" si="3"/>
        <v>845000</v>
      </c>
      <c r="AA18" s="15" t="s">
        <v>76</v>
      </c>
      <c r="AB18" s="16"/>
    </row>
    <row r="19" spans="1:28" s="1" customFormat="1" ht="22.5" customHeight="1">
      <c r="A19" s="127">
        <v>44935</v>
      </c>
      <c r="B19" s="109">
        <v>81864</v>
      </c>
      <c r="C19" s="113">
        <v>81918</v>
      </c>
      <c r="D19" s="113">
        <f t="shared" si="5"/>
        <v>54</v>
      </c>
      <c r="E19" s="106"/>
      <c r="F19" s="106"/>
      <c r="G19" s="106"/>
      <c r="H19" s="106"/>
      <c r="I19" s="106"/>
      <c r="J19" s="116">
        <v>0.3125</v>
      </c>
      <c r="K19" s="116">
        <v>0.89583333333333337</v>
      </c>
      <c r="L19" s="77">
        <f t="shared" si="0"/>
        <v>0</v>
      </c>
      <c r="M19" s="77">
        <f t="shared" si="1"/>
        <v>0.14583333333333337</v>
      </c>
      <c r="N19" s="104">
        <v>1</v>
      </c>
      <c r="O19" s="105">
        <v>100000</v>
      </c>
      <c r="P19" s="118">
        <f t="shared" si="2"/>
        <v>100000</v>
      </c>
      <c r="Q19" s="20"/>
      <c r="R19" s="20"/>
      <c r="S19" s="20"/>
      <c r="T19" s="29"/>
      <c r="U19" s="20"/>
      <c r="V19" s="20"/>
      <c r="W19" s="27"/>
      <c r="X19" s="25">
        <f>W19*50000</f>
        <v>0</v>
      </c>
      <c r="Y19" s="25"/>
      <c r="Z19" s="28">
        <f t="shared" si="3"/>
        <v>100000</v>
      </c>
      <c r="AB19" s="2"/>
    </row>
    <row r="20" spans="1:28" s="15" customFormat="1" ht="22.5" customHeight="1">
      <c r="A20" s="127">
        <v>44936</v>
      </c>
      <c r="B20" s="109">
        <v>81922</v>
      </c>
      <c r="C20" s="113">
        <v>82057</v>
      </c>
      <c r="D20" s="113">
        <f t="shared" si="5"/>
        <v>135</v>
      </c>
      <c r="E20" s="106"/>
      <c r="F20" s="108"/>
      <c r="G20" s="108"/>
      <c r="H20" s="108"/>
      <c r="I20" s="108"/>
      <c r="J20" s="116">
        <v>0.3125</v>
      </c>
      <c r="K20" s="116">
        <v>0.875</v>
      </c>
      <c r="L20" s="107">
        <f t="shared" si="0"/>
        <v>0</v>
      </c>
      <c r="M20" s="107">
        <f t="shared" si="1"/>
        <v>0.125</v>
      </c>
      <c r="N20" s="104">
        <v>1</v>
      </c>
      <c r="O20" s="105">
        <v>100000</v>
      </c>
      <c r="P20" s="118">
        <f t="shared" si="2"/>
        <v>100000</v>
      </c>
      <c r="Q20" s="20"/>
      <c r="R20" s="20"/>
      <c r="S20" s="20"/>
      <c r="T20" s="29"/>
      <c r="U20" s="20"/>
      <c r="V20" s="20"/>
      <c r="W20" s="27"/>
      <c r="X20" s="25">
        <f t="shared" ref="X20:X41" si="6">W20*50000</f>
        <v>0</v>
      </c>
      <c r="Y20" s="25"/>
      <c r="Z20" s="28">
        <f t="shared" si="3"/>
        <v>100000</v>
      </c>
      <c r="AB20" s="16"/>
    </row>
    <row r="21" spans="1:28" s="1" customFormat="1" ht="23.25" customHeight="1">
      <c r="A21" s="127">
        <v>44937</v>
      </c>
      <c r="B21" s="109">
        <v>82061</v>
      </c>
      <c r="C21" s="113">
        <v>82142</v>
      </c>
      <c r="D21" s="113">
        <f t="shared" si="5"/>
        <v>81</v>
      </c>
      <c r="E21" s="106"/>
      <c r="F21" s="106"/>
      <c r="G21" s="106"/>
      <c r="H21" s="106"/>
      <c r="I21" s="106"/>
      <c r="J21" s="116">
        <v>0.3125</v>
      </c>
      <c r="K21" s="116">
        <v>0.875</v>
      </c>
      <c r="L21" s="77">
        <f t="shared" si="0"/>
        <v>0</v>
      </c>
      <c r="M21" s="77">
        <f t="shared" si="1"/>
        <v>0.125</v>
      </c>
      <c r="N21" s="104">
        <v>1</v>
      </c>
      <c r="O21" s="105">
        <v>100000</v>
      </c>
      <c r="P21" s="118">
        <f t="shared" si="2"/>
        <v>100000</v>
      </c>
      <c r="Q21" s="20"/>
      <c r="R21" s="20"/>
      <c r="S21" s="20"/>
      <c r="T21" s="29"/>
      <c r="U21" s="20"/>
      <c r="V21" s="20"/>
      <c r="W21" s="27"/>
      <c r="X21" s="25">
        <f>W21*50000</f>
        <v>0</v>
      </c>
      <c r="Y21" s="25"/>
      <c r="Z21" s="28">
        <f t="shared" si="3"/>
        <v>100000</v>
      </c>
      <c r="AB21" s="2"/>
    </row>
    <row r="22" spans="1:28" s="1" customFormat="1" ht="22.5" customHeight="1">
      <c r="A22" s="127">
        <v>44938</v>
      </c>
      <c r="B22" s="109">
        <v>82145</v>
      </c>
      <c r="C22" s="113">
        <v>82276</v>
      </c>
      <c r="D22" s="113">
        <f t="shared" si="5"/>
        <v>131</v>
      </c>
      <c r="E22" s="106"/>
      <c r="F22" s="106"/>
      <c r="G22" s="106"/>
      <c r="H22" s="106"/>
      <c r="I22" s="106"/>
      <c r="J22" s="116">
        <v>0.3125</v>
      </c>
      <c r="K22" s="116">
        <v>0.89583333333333337</v>
      </c>
      <c r="L22" s="77">
        <f t="shared" si="0"/>
        <v>0</v>
      </c>
      <c r="M22" s="77">
        <f t="shared" si="1"/>
        <v>0.14583333333333337</v>
      </c>
      <c r="N22" s="104">
        <v>1</v>
      </c>
      <c r="O22" s="105">
        <v>100000</v>
      </c>
      <c r="P22" s="118">
        <f t="shared" si="2"/>
        <v>100000</v>
      </c>
      <c r="Q22" s="20"/>
      <c r="R22" s="20"/>
      <c r="S22" s="20"/>
      <c r="T22" s="26"/>
      <c r="U22" s="20"/>
      <c r="V22" s="20"/>
      <c r="W22" s="27"/>
      <c r="X22" s="25">
        <f t="shared" si="6"/>
        <v>0</v>
      </c>
      <c r="Y22" s="25"/>
      <c r="Z22" s="28">
        <f t="shared" si="3"/>
        <v>100000</v>
      </c>
      <c r="AB22" s="2"/>
    </row>
    <row r="23" spans="1:28" s="1" customFormat="1" ht="22.5" customHeight="1">
      <c r="A23" s="127">
        <v>44939</v>
      </c>
      <c r="B23" s="109">
        <v>82280</v>
      </c>
      <c r="C23" s="113">
        <v>82438</v>
      </c>
      <c r="D23" s="113">
        <f t="shared" si="5"/>
        <v>158</v>
      </c>
      <c r="E23" s="106"/>
      <c r="F23" s="106"/>
      <c r="G23" s="106"/>
      <c r="H23" s="106"/>
      <c r="I23" s="106"/>
      <c r="J23" s="116">
        <v>0.3125</v>
      </c>
      <c r="K23" s="116">
        <v>0.89583333333333337</v>
      </c>
      <c r="L23" s="77">
        <f t="shared" si="0"/>
        <v>0</v>
      </c>
      <c r="M23" s="77">
        <f t="shared" si="1"/>
        <v>0.14583333333333337</v>
      </c>
      <c r="N23" s="104">
        <v>1</v>
      </c>
      <c r="O23" s="105">
        <v>100000</v>
      </c>
      <c r="P23" s="118">
        <f t="shared" si="2"/>
        <v>100000</v>
      </c>
      <c r="Q23" s="20"/>
      <c r="R23" s="20"/>
      <c r="S23" s="20"/>
      <c r="T23" s="26"/>
      <c r="U23" s="20"/>
      <c r="V23" s="20"/>
      <c r="W23" s="27"/>
      <c r="X23" s="25">
        <f t="shared" si="6"/>
        <v>0</v>
      </c>
      <c r="Y23" s="25"/>
      <c r="Z23" s="28">
        <f t="shared" si="3"/>
        <v>100000</v>
      </c>
      <c r="AB23" s="2"/>
    </row>
    <row r="24" spans="1:28" s="1" customFormat="1" ht="22.5" customHeight="1">
      <c r="A24" s="127">
        <v>44940</v>
      </c>
      <c r="B24" s="109">
        <v>82442</v>
      </c>
      <c r="C24" s="113">
        <v>82622</v>
      </c>
      <c r="D24" s="113">
        <f t="shared" si="5"/>
        <v>180</v>
      </c>
      <c r="E24" s="106"/>
      <c r="F24" s="106"/>
      <c r="G24" s="106"/>
      <c r="H24" s="106"/>
      <c r="I24" s="106"/>
      <c r="J24" s="116">
        <v>0.3125</v>
      </c>
      <c r="K24" s="116">
        <v>0.85416666666666663</v>
      </c>
      <c r="L24" s="77">
        <f t="shared" si="0"/>
        <v>0</v>
      </c>
      <c r="M24" s="77">
        <f t="shared" si="1"/>
        <v>0.10416666666666663</v>
      </c>
      <c r="N24" s="104">
        <v>1</v>
      </c>
      <c r="O24" s="105">
        <v>100000</v>
      </c>
      <c r="P24" s="118">
        <f t="shared" si="2"/>
        <v>100000</v>
      </c>
      <c r="Q24" s="20"/>
      <c r="R24" s="20"/>
      <c r="S24" s="20"/>
      <c r="T24" s="26"/>
      <c r="U24" s="20"/>
      <c r="V24" s="20"/>
      <c r="W24" s="27"/>
      <c r="X24" s="25">
        <f t="shared" si="6"/>
        <v>0</v>
      </c>
      <c r="Y24" s="25"/>
      <c r="Z24" s="28">
        <f t="shared" si="3"/>
        <v>100000</v>
      </c>
      <c r="AB24" s="2"/>
    </row>
    <row r="25" spans="1:28" s="15" customFormat="1" ht="22.5" customHeight="1">
      <c r="A25" s="129">
        <v>44941</v>
      </c>
      <c r="B25" s="109">
        <v>82635</v>
      </c>
      <c r="C25" s="113">
        <v>82933</v>
      </c>
      <c r="D25" s="113">
        <f t="shared" si="5"/>
        <v>298</v>
      </c>
      <c r="E25" s="106"/>
      <c r="F25" s="106"/>
      <c r="G25" s="106"/>
      <c r="H25" s="106"/>
      <c r="I25" s="106"/>
      <c r="J25" s="72">
        <v>0.25</v>
      </c>
      <c r="K25" s="72">
        <v>0.47916666666666669</v>
      </c>
      <c r="L25" s="74">
        <f t="shared" si="0"/>
        <v>4.1666666666666685E-2</v>
      </c>
      <c r="M25" s="74">
        <f t="shared" si="1"/>
        <v>0</v>
      </c>
      <c r="N25" s="133">
        <v>0</v>
      </c>
      <c r="O25" s="134">
        <f>+(1.5*50000)</f>
        <v>75000</v>
      </c>
      <c r="P25" s="118">
        <f>O25</f>
        <v>75000</v>
      </c>
      <c r="Q25" s="20"/>
      <c r="R25" s="20">
        <v>4</v>
      </c>
      <c r="S25" s="20">
        <f>1000000/8</f>
        <v>125000</v>
      </c>
      <c r="T25" s="123">
        <f>R25*S25</f>
        <v>500000</v>
      </c>
      <c r="U25" s="20"/>
      <c r="V25" s="20"/>
      <c r="W25" s="27"/>
      <c r="X25" s="25">
        <f t="shared" si="6"/>
        <v>0</v>
      </c>
      <c r="Y25" s="25">
        <v>270000</v>
      </c>
      <c r="Z25" s="28">
        <f>SUM(I25+P25+Q25+V25+X25+Y25+T25)</f>
        <v>845000</v>
      </c>
      <c r="AA25" s="15" t="s">
        <v>75</v>
      </c>
      <c r="AB25" s="16"/>
    </row>
    <row r="26" spans="1:28" s="1" customFormat="1" ht="22.5" customHeight="1">
      <c r="A26" s="127">
        <v>44942</v>
      </c>
      <c r="B26" s="109">
        <v>82937</v>
      </c>
      <c r="C26" s="113">
        <v>83049</v>
      </c>
      <c r="D26" s="113">
        <f t="shared" si="5"/>
        <v>112</v>
      </c>
      <c r="E26" s="106"/>
      <c r="F26" s="106"/>
      <c r="G26" s="106"/>
      <c r="H26" s="106"/>
      <c r="I26" s="106"/>
      <c r="J26" s="116">
        <v>0.3125</v>
      </c>
      <c r="K26" s="116">
        <v>0.875</v>
      </c>
      <c r="L26" s="77">
        <f t="shared" si="0"/>
        <v>0</v>
      </c>
      <c r="M26" s="77">
        <f t="shared" si="1"/>
        <v>0.125</v>
      </c>
      <c r="N26" s="104">
        <v>1</v>
      </c>
      <c r="O26" s="105">
        <v>100000</v>
      </c>
      <c r="P26" s="118">
        <f t="shared" si="2"/>
        <v>100000</v>
      </c>
      <c r="Q26" s="20"/>
      <c r="R26" s="20"/>
      <c r="S26" s="20"/>
      <c r="T26" s="29"/>
      <c r="U26" s="20"/>
      <c r="V26" s="20"/>
      <c r="W26" s="27"/>
      <c r="X26" s="25">
        <f t="shared" si="6"/>
        <v>0</v>
      </c>
      <c r="Y26" s="25"/>
      <c r="Z26" s="28">
        <f t="shared" si="3"/>
        <v>100000</v>
      </c>
      <c r="AB26" s="2"/>
    </row>
    <row r="27" spans="1:28" s="15" customFormat="1" ht="22.5" customHeight="1">
      <c r="A27" s="127">
        <v>44943</v>
      </c>
      <c r="B27" s="109">
        <v>83062</v>
      </c>
      <c r="C27" s="113">
        <v>83367</v>
      </c>
      <c r="D27" s="113">
        <f t="shared" si="5"/>
        <v>305</v>
      </c>
      <c r="E27" s="106"/>
      <c r="F27" s="108"/>
      <c r="G27" s="108"/>
      <c r="H27" s="108"/>
      <c r="I27" s="108"/>
      <c r="J27" s="116">
        <v>0.3125</v>
      </c>
      <c r="K27" s="116">
        <v>0.89583333333333337</v>
      </c>
      <c r="L27" s="107">
        <f t="shared" si="0"/>
        <v>0</v>
      </c>
      <c r="M27" s="107">
        <f t="shared" si="1"/>
        <v>0.14583333333333337</v>
      </c>
      <c r="N27" s="104">
        <v>1</v>
      </c>
      <c r="O27" s="105">
        <v>100000</v>
      </c>
      <c r="P27" s="118">
        <f t="shared" si="2"/>
        <v>100000</v>
      </c>
      <c r="Q27" s="20"/>
      <c r="R27" s="20"/>
      <c r="S27" s="20"/>
      <c r="T27" s="26"/>
      <c r="U27" s="20"/>
      <c r="V27" s="20"/>
      <c r="W27" s="27">
        <v>1</v>
      </c>
      <c r="X27" s="25">
        <f t="shared" si="6"/>
        <v>50000</v>
      </c>
      <c r="Y27" s="25">
        <v>70000</v>
      </c>
      <c r="Z27" s="28">
        <f t="shared" si="3"/>
        <v>220000</v>
      </c>
      <c r="AB27" s="16"/>
    </row>
    <row r="28" spans="1:28" s="1" customFormat="1" ht="22.5" customHeight="1">
      <c r="A28" s="127">
        <v>44944</v>
      </c>
      <c r="B28" s="109">
        <v>83372</v>
      </c>
      <c r="C28" s="113">
        <v>83434</v>
      </c>
      <c r="D28" s="113">
        <f t="shared" si="5"/>
        <v>62</v>
      </c>
      <c r="E28" s="106"/>
      <c r="F28" s="106"/>
      <c r="G28" s="106"/>
      <c r="H28" s="106"/>
      <c r="I28" s="106"/>
      <c r="J28" s="116">
        <v>0.3125</v>
      </c>
      <c r="K28" s="116">
        <v>0.77083333333333337</v>
      </c>
      <c r="L28" s="77">
        <f t="shared" si="0"/>
        <v>0</v>
      </c>
      <c r="M28" s="77">
        <f t="shared" si="1"/>
        <v>2.083333333333337E-2</v>
      </c>
      <c r="N28" s="104">
        <v>1</v>
      </c>
      <c r="O28" s="105">
        <v>100000</v>
      </c>
      <c r="P28" s="118">
        <f t="shared" si="2"/>
        <v>100000</v>
      </c>
      <c r="Q28" s="20"/>
      <c r="R28" s="20"/>
      <c r="S28" s="20"/>
      <c r="T28" s="26"/>
      <c r="U28" s="20"/>
      <c r="V28" s="20"/>
      <c r="W28" s="27"/>
      <c r="X28" s="25">
        <f t="shared" si="6"/>
        <v>0</v>
      </c>
      <c r="Y28" s="25"/>
      <c r="Z28" s="28">
        <f t="shared" si="3"/>
        <v>100000</v>
      </c>
      <c r="AB28" s="2"/>
    </row>
    <row r="29" spans="1:28" s="1" customFormat="1" ht="22.5" customHeight="1">
      <c r="A29" s="127">
        <v>44945</v>
      </c>
      <c r="B29" s="109">
        <v>83456</v>
      </c>
      <c r="C29" s="113">
        <v>83584</v>
      </c>
      <c r="D29" s="113">
        <f t="shared" si="5"/>
        <v>128</v>
      </c>
      <c r="E29" s="106"/>
      <c r="F29" s="106"/>
      <c r="G29" s="106"/>
      <c r="H29" s="106"/>
      <c r="I29" s="106"/>
      <c r="J29" s="116">
        <v>0.625</v>
      </c>
      <c r="K29" s="116">
        <v>0.70833333333333337</v>
      </c>
      <c r="L29" s="77">
        <f t="shared" si="0"/>
        <v>0</v>
      </c>
      <c r="M29" s="77">
        <f t="shared" si="1"/>
        <v>0</v>
      </c>
      <c r="N29" s="104">
        <v>0</v>
      </c>
      <c r="O29" s="105">
        <v>100000</v>
      </c>
      <c r="P29" s="118">
        <f t="shared" si="2"/>
        <v>0</v>
      </c>
      <c r="Q29" s="20"/>
      <c r="R29" s="20"/>
      <c r="S29" s="20"/>
      <c r="T29" s="26"/>
      <c r="U29" s="20"/>
      <c r="V29" s="20"/>
      <c r="W29" s="27"/>
      <c r="X29" s="25">
        <f t="shared" si="6"/>
        <v>0</v>
      </c>
      <c r="Y29" s="25"/>
      <c r="Z29" s="28">
        <f t="shared" si="3"/>
        <v>0</v>
      </c>
      <c r="AB29" s="2"/>
    </row>
    <row r="30" spans="1:28" s="78" customFormat="1" ht="22.5" customHeight="1">
      <c r="A30" s="127">
        <v>44946</v>
      </c>
      <c r="B30" s="109"/>
      <c r="C30" s="113"/>
      <c r="D30" s="113">
        <f t="shared" si="5"/>
        <v>0</v>
      </c>
      <c r="E30" s="106"/>
      <c r="F30" s="106"/>
      <c r="G30" s="106"/>
      <c r="H30" s="106"/>
      <c r="I30" s="106"/>
      <c r="J30" s="116">
        <v>0</v>
      </c>
      <c r="K30" s="116">
        <v>0</v>
      </c>
      <c r="L30" s="77">
        <f t="shared" si="0"/>
        <v>0.29166666666666669</v>
      </c>
      <c r="M30" s="77">
        <f t="shared" si="1"/>
        <v>0</v>
      </c>
      <c r="N30" s="104">
        <v>0</v>
      </c>
      <c r="O30" s="105">
        <v>100000</v>
      </c>
      <c r="P30" s="118">
        <f t="shared" si="2"/>
        <v>0</v>
      </c>
      <c r="Q30" s="20"/>
      <c r="R30" s="20"/>
      <c r="S30" s="20"/>
      <c r="T30" s="26"/>
      <c r="U30" s="20"/>
      <c r="V30" s="20"/>
      <c r="W30" s="27"/>
      <c r="X30" s="25">
        <f t="shared" si="6"/>
        <v>0</v>
      </c>
      <c r="Y30" s="25"/>
      <c r="Z30" s="28">
        <f t="shared" si="3"/>
        <v>0</v>
      </c>
      <c r="AB30" s="79"/>
    </row>
    <row r="31" spans="1:28" s="30" customFormat="1" ht="22.5" customHeight="1">
      <c r="A31" s="127">
        <v>44947</v>
      </c>
      <c r="B31" s="109"/>
      <c r="C31" s="113"/>
      <c r="D31" s="113">
        <f t="shared" si="5"/>
        <v>0</v>
      </c>
      <c r="E31" s="106"/>
      <c r="F31" s="106"/>
      <c r="G31" s="106"/>
      <c r="H31" s="106"/>
      <c r="I31" s="106"/>
      <c r="J31" s="116">
        <v>0</v>
      </c>
      <c r="K31" s="116">
        <v>0</v>
      </c>
      <c r="L31" s="77">
        <f t="shared" si="0"/>
        <v>0.29166666666666669</v>
      </c>
      <c r="M31" s="77">
        <f t="shared" si="1"/>
        <v>0</v>
      </c>
      <c r="N31" s="104">
        <v>0</v>
      </c>
      <c r="O31" s="105">
        <v>100000</v>
      </c>
      <c r="P31" s="118">
        <f t="shared" si="2"/>
        <v>0</v>
      </c>
      <c r="Q31" s="20"/>
      <c r="R31" s="20"/>
      <c r="S31" s="106"/>
      <c r="T31" s="26"/>
      <c r="U31" s="20"/>
      <c r="V31" s="20"/>
      <c r="W31" s="27"/>
      <c r="X31" s="25">
        <f t="shared" si="6"/>
        <v>0</v>
      </c>
      <c r="Y31" s="25"/>
      <c r="Z31" s="28">
        <f t="shared" si="3"/>
        <v>0</v>
      </c>
      <c r="AB31" s="31"/>
    </row>
    <row r="32" spans="1:28" s="15" customFormat="1" ht="22.5" customHeight="1">
      <c r="A32" s="129">
        <v>44948</v>
      </c>
      <c r="B32" s="109"/>
      <c r="C32" s="113"/>
      <c r="D32" s="113">
        <f t="shared" si="5"/>
        <v>0</v>
      </c>
      <c r="E32" s="106"/>
      <c r="F32" s="106"/>
      <c r="G32" s="106"/>
      <c r="H32" s="106"/>
      <c r="I32" s="106"/>
      <c r="J32" s="116">
        <v>0</v>
      </c>
      <c r="K32" s="116">
        <v>0</v>
      </c>
      <c r="L32" s="77">
        <f t="shared" si="0"/>
        <v>0.29166666666666669</v>
      </c>
      <c r="M32" s="77">
        <f t="shared" si="1"/>
        <v>0</v>
      </c>
      <c r="N32" s="104">
        <v>0</v>
      </c>
      <c r="O32" s="105">
        <v>100000</v>
      </c>
      <c r="P32" s="118">
        <f t="shared" si="2"/>
        <v>0</v>
      </c>
      <c r="Q32" s="20"/>
      <c r="R32" s="20"/>
      <c r="S32" s="20"/>
      <c r="T32" s="26"/>
      <c r="U32" s="20"/>
      <c r="V32" s="20"/>
      <c r="W32" s="27"/>
      <c r="X32" s="25">
        <f t="shared" si="6"/>
        <v>0</v>
      </c>
      <c r="Y32" s="25"/>
      <c r="Z32" s="28">
        <f t="shared" si="3"/>
        <v>0</v>
      </c>
      <c r="AB32" s="16"/>
    </row>
    <row r="33" spans="1:27" s="1" customFormat="1" ht="22.5" customHeight="1">
      <c r="A33" s="127">
        <v>44949</v>
      </c>
      <c r="B33" s="109"/>
      <c r="C33" s="113"/>
      <c r="D33" s="113">
        <f t="shared" si="5"/>
        <v>0</v>
      </c>
      <c r="E33" s="106"/>
      <c r="F33" s="106"/>
      <c r="G33" s="106"/>
      <c r="H33" s="106"/>
      <c r="I33" s="106"/>
      <c r="J33" s="116">
        <v>0</v>
      </c>
      <c r="K33" s="116">
        <v>0</v>
      </c>
      <c r="L33" s="77">
        <f t="shared" si="0"/>
        <v>0.29166666666666669</v>
      </c>
      <c r="M33" s="77">
        <f t="shared" si="1"/>
        <v>0</v>
      </c>
      <c r="N33" s="104">
        <v>0</v>
      </c>
      <c r="O33" s="105">
        <v>100000</v>
      </c>
      <c r="P33" s="118">
        <f t="shared" si="2"/>
        <v>0</v>
      </c>
      <c r="Q33" s="20"/>
      <c r="R33" s="20"/>
      <c r="S33" s="20"/>
      <c r="T33" s="123"/>
      <c r="U33" s="20"/>
      <c r="V33" s="20"/>
      <c r="W33" s="27"/>
      <c r="X33" s="25">
        <f t="shared" si="6"/>
        <v>0</v>
      </c>
      <c r="Y33" s="25"/>
      <c r="Z33" s="28">
        <f t="shared" si="3"/>
        <v>0</v>
      </c>
    </row>
    <row r="34" spans="1:27" s="15" customFormat="1" ht="22.5" customHeight="1">
      <c r="A34" s="127">
        <v>44950</v>
      </c>
      <c r="B34" s="109"/>
      <c r="C34" s="113"/>
      <c r="D34" s="113">
        <f t="shared" si="5"/>
        <v>0</v>
      </c>
      <c r="E34" s="106"/>
      <c r="F34" s="108"/>
      <c r="G34" s="108"/>
      <c r="H34" s="108"/>
      <c r="I34" s="108"/>
      <c r="J34" s="116">
        <v>0</v>
      </c>
      <c r="K34" s="116">
        <v>0</v>
      </c>
      <c r="L34" s="107"/>
      <c r="M34" s="107"/>
      <c r="N34" s="104">
        <v>0</v>
      </c>
      <c r="O34" s="105">
        <v>100000</v>
      </c>
      <c r="P34" s="118">
        <f t="shared" si="2"/>
        <v>0</v>
      </c>
      <c r="Q34" s="20"/>
      <c r="R34" s="20"/>
      <c r="S34" s="20"/>
      <c r="T34" s="26"/>
      <c r="U34" s="20"/>
      <c r="V34" s="20"/>
      <c r="W34" s="27"/>
      <c r="X34" s="25">
        <f t="shared" si="6"/>
        <v>0</v>
      </c>
      <c r="Y34" s="25"/>
      <c r="Z34" s="28">
        <f t="shared" si="3"/>
        <v>0</v>
      </c>
    </row>
    <row r="35" spans="1:27" s="1" customFormat="1" ht="22.5" customHeight="1">
      <c r="A35" s="127">
        <v>44951</v>
      </c>
      <c r="B35" s="109"/>
      <c r="C35" s="113"/>
      <c r="D35" s="113">
        <f t="shared" si="5"/>
        <v>0</v>
      </c>
      <c r="E35" s="106"/>
      <c r="F35" s="106"/>
      <c r="G35" s="106"/>
      <c r="H35" s="106"/>
      <c r="I35" s="106"/>
      <c r="J35" s="116">
        <v>0</v>
      </c>
      <c r="K35" s="116">
        <v>0</v>
      </c>
      <c r="L35" s="77">
        <f t="shared" si="0"/>
        <v>0.29166666666666669</v>
      </c>
      <c r="M35" s="77">
        <f t="shared" si="1"/>
        <v>0</v>
      </c>
      <c r="N35" s="104">
        <v>0</v>
      </c>
      <c r="O35" s="105">
        <v>100000</v>
      </c>
      <c r="P35" s="118">
        <f t="shared" si="2"/>
        <v>0</v>
      </c>
      <c r="Q35" s="20"/>
      <c r="R35" s="20"/>
      <c r="S35" s="20"/>
      <c r="T35" s="26"/>
      <c r="U35" s="20"/>
      <c r="V35" s="20"/>
      <c r="W35" s="27"/>
      <c r="X35" s="25">
        <f t="shared" si="6"/>
        <v>0</v>
      </c>
      <c r="Y35" s="25"/>
      <c r="Z35" s="28">
        <f t="shared" si="3"/>
        <v>0</v>
      </c>
    </row>
    <row r="36" spans="1:27" s="1" customFormat="1" ht="22.5" customHeight="1">
      <c r="A36" s="127">
        <v>44952</v>
      </c>
      <c r="B36" s="109"/>
      <c r="C36" s="113"/>
      <c r="D36" s="113">
        <f t="shared" si="5"/>
        <v>0</v>
      </c>
      <c r="E36" s="106"/>
      <c r="F36" s="106"/>
      <c r="G36" s="106"/>
      <c r="H36" s="106"/>
      <c r="I36" s="106"/>
      <c r="J36" s="116">
        <v>0</v>
      </c>
      <c r="K36" s="116">
        <v>0</v>
      </c>
      <c r="L36" s="77"/>
      <c r="M36" s="77"/>
      <c r="N36" s="104">
        <v>0</v>
      </c>
      <c r="O36" s="105">
        <v>100000</v>
      </c>
      <c r="P36" s="118">
        <f t="shared" si="2"/>
        <v>0</v>
      </c>
      <c r="Q36" s="20"/>
      <c r="R36" s="20"/>
      <c r="S36" s="20"/>
      <c r="T36" s="26"/>
      <c r="U36" s="20"/>
      <c r="V36" s="20"/>
      <c r="W36" s="27"/>
      <c r="X36" s="25">
        <f t="shared" si="6"/>
        <v>0</v>
      </c>
      <c r="Y36" s="25"/>
      <c r="Z36" s="28">
        <f t="shared" si="3"/>
        <v>0</v>
      </c>
    </row>
    <row r="37" spans="1:27" s="1" customFormat="1" ht="22.5" customHeight="1">
      <c r="A37" s="127">
        <v>44953</v>
      </c>
      <c r="B37" s="109"/>
      <c r="C37" s="113"/>
      <c r="D37" s="113">
        <f t="shared" si="5"/>
        <v>0</v>
      </c>
      <c r="E37" s="106"/>
      <c r="F37" s="106"/>
      <c r="G37" s="106"/>
      <c r="H37" s="106"/>
      <c r="I37" s="106"/>
      <c r="J37" s="116">
        <v>0</v>
      </c>
      <c r="K37" s="116">
        <v>0</v>
      </c>
      <c r="L37" s="77">
        <f t="shared" si="0"/>
        <v>0.29166666666666669</v>
      </c>
      <c r="M37" s="77">
        <f t="shared" si="1"/>
        <v>0</v>
      </c>
      <c r="N37" s="104">
        <v>0</v>
      </c>
      <c r="O37" s="105">
        <v>100000</v>
      </c>
      <c r="P37" s="118">
        <f t="shared" si="2"/>
        <v>0</v>
      </c>
      <c r="Q37" s="20"/>
      <c r="R37" s="20"/>
      <c r="S37" s="20"/>
      <c r="T37" s="26"/>
      <c r="U37" s="20"/>
      <c r="V37" s="20"/>
      <c r="W37" s="27"/>
      <c r="X37" s="25">
        <f>W37*50000</f>
        <v>0</v>
      </c>
      <c r="Y37" s="25"/>
      <c r="Z37" s="28">
        <f t="shared" si="3"/>
        <v>0</v>
      </c>
    </row>
    <row r="38" spans="1:27" s="1" customFormat="1" ht="22.5" customHeight="1">
      <c r="A38" s="127">
        <v>44954</v>
      </c>
      <c r="B38" s="109"/>
      <c r="C38" s="113"/>
      <c r="D38" s="113">
        <f t="shared" si="5"/>
        <v>0</v>
      </c>
      <c r="E38" s="106"/>
      <c r="F38" s="106"/>
      <c r="G38" s="106"/>
      <c r="H38" s="106"/>
      <c r="I38" s="106"/>
      <c r="J38" s="116">
        <v>0</v>
      </c>
      <c r="K38" s="116">
        <v>0</v>
      </c>
      <c r="L38" s="77">
        <f t="shared" si="0"/>
        <v>0.29166666666666669</v>
      </c>
      <c r="M38" s="77">
        <f t="shared" si="1"/>
        <v>0</v>
      </c>
      <c r="N38" s="104">
        <v>0</v>
      </c>
      <c r="O38" s="105">
        <v>100000</v>
      </c>
      <c r="P38" s="118">
        <f t="shared" si="2"/>
        <v>0</v>
      </c>
      <c r="Q38" s="20"/>
      <c r="R38" s="20"/>
      <c r="S38" s="20"/>
      <c r="T38" s="26"/>
      <c r="U38" s="20"/>
      <c r="V38" s="20"/>
      <c r="W38" s="27"/>
      <c r="X38" s="25">
        <f t="shared" ref="X38" si="7">W38*50000</f>
        <v>0</v>
      </c>
      <c r="Y38" s="25"/>
      <c r="Z38" s="28">
        <f t="shared" si="3"/>
        <v>0</v>
      </c>
    </row>
    <row r="39" spans="1:27" s="15" customFormat="1" ht="22.5" customHeight="1">
      <c r="A39" s="129">
        <v>44955</v>
      </c>
      <c r="B39" s="109">
        <v>83762</v>
      </c>
      <c r="C39" s="37">
        <v>83891</v>
      </c>
      <c r="D39" s="113">
        <f t="shared" si="5"/>
        <v>129</v>
      </c>
      <c r="E39" s="106"/>
      <c r="F39" s="106"/>
      <c r="G39" s="106"/>
      <c r="H39" s="106"/>
      <c r="I39" s="106"/>
      <c r="J39" s="72">
        <v>0.375</v>
      </c>
      <c r="K39" s="72">
        <v>0.5</v>
      </c>
      <c r="L39" s="77">
        <f t="shared" si="0"/>
        <v>0</v>
      </c>
      <c r="M39" s="77">
        <f t="shared" si="1"/>
        <v>0</v>
      </c>
      <c r="N39" s="104">
        <v>0</v>
      </c>
      <c r="O39" s="105">
        <v>100000</v>
      </c>
      <c r="P39" s="118">
        <f t="shared" si="2"/>
        <v>0</v>
      </c>
      <c r="Q39" s="20"/>
      <c r="R39" s="20">
        <v>3</v>
      </c>
      <c r="S39" s="20">
        <f>1000000/8</f>
        <v>125000</v>
      </c>
      <c r="T39" s="123">
        <f>R39*S39</f>
        <v>375000</v>
      </c>
      <c r="U39" s="20"/>
      <c r="V39" s="20"/>
      <c r="W39" s="27"/>
      <c r="X39" s="25">
        <f t="shared" si="6"/>
        <v>0</v>
      </c>
      <c r="Y39" s="25">
        <v>20000</v>
      </c>
      <c r="Z39" s="28">
        <f t="shared" si="3"/>
        <v>395000</v>
      </c>
      <c r="AA39" s="15" t="s">
        <v>74</v>
      </c>
    </row>
    <row r="40" spans="1:27" s="1" customFormat="1" ht="22.5" customHeight="1">
      <c r="A40" s="127">
        <v>44956</v>
      </c>
      <c r="B40" s="109">
        <v>83925</v>
      </c>
      <c r="C40" s="113">
        <v>84041</v>
      </c>
      <c r="D40" s="113">
        <f t="shared" si="5"/>
        <v>116</v>
      </c>
      <c r="E40" s="106"/>
      <c r="F40" s="106"/>
      <c r="G40" s="106"/>
      <c r="H40" s="106"/>
      <c r="I40" s="106"/>
      <c r="J40" s="116">
        <v>0.3125</v>
      </c>
      <c r="K40" s="116">
        <v>0.89583333333333337</v>
      </c>
      <c r="L40" s="77">
        <f t="shared" si="0"/>
        <v>0</v>
      </c>
      <c r="M40" s="77">
        <f t="shared" si="1"/>
        <v>0.14583333333333337</v>
      </c>
      <c r="N40" s="104">
        <v>1</v>
      </c>
      <c r="O40" s="105">
        <v>100000</v>
      </c>
      <c r="P40" s="118">
        <f t="shared" si="2"/>
        <v>100000</v>
      </c>
      <c r="Q40" s="20"/>
      <c r="R40" s="124"/>
      <c r="S40" s="20"/>
      <c r="T40" s="123"/>
      <c r="U40" s="20"/>
      <c r="V40" s="20"/>
      <c r="W40" s="27"/>
      <c r="X40" s="25">
        <f t="shared" si="6"/>
        <v>0</v>
      </c>
      <c r="Y40" s="25"/>
      <c r="Z40" s="28">
        <f t="shared" si="3"/>
        <v>100000</v>
      </c>
    </row>
    <row r="41" spans="1:27" s="15" customFormat="1" ht="22.5" customHeight="1">
      <c r="A41" s="127">
        <v>44957</v>
      </c>
      <c r="B41" s="109">
        <v>84050</v>
      </c>
      <c r="C41" s="113">
        <v>84252</v>
      </c>
      <c r="D41" s="113">
        <f t="shared" si="5"/>
        <v>202</v>
      </c>
      <c r="E41" s="108"/>
      <c r="F41" s="108"/>
      <c r="G41" s="108"/>
      <c r="H41" s="108"/>
      <c r="I41" s="108"/>
      <c r="J41" s="116">
        <v>0.3125</v>
      </c>
      <c r="K41" s="116">
        <v>0.85416666666666663</v>
      </c>
      <c r="L41" s="107">
        <f t="shared" si="0"/>
        <v>0</v>
      </c>
      <c r="M41" s="107"/>
      <c r="N41" s="104">
        <v>1</v>
      </c>
      <c r="O41" s="105">
        <v>100000</v>
      </c>
      <c r="P41" s="118">
        <f t="shared" si="2"/>
        <v>100000</v>
      </c>
      <c r="Q41" s="20"/>
      <c r="R41" s="20"/>
      <c r="S41" s="20"/>
      <c r="T41" s="26"/>
      <c r="U41" s="20"/>
      <c r="V41" s="20"/>
      <c r="W41" s="27">
        <v>1</v>
      </c>
      <c r="X41" s="25">
        <f t="shared" si="6"/>
        <v>50000</v>
      </c>
      <c r="Y41" s="25">
        <f>70000+80000</f>
        <v>150000</v>
      </c>
      <c r="Z41" s="28">
        <f>SUM(I41+P41+Q41+V41+X41+Y41+T41)</f>
        <v>300000</v>
      </c>
    </row>
    <row r="42" spans="1:27" s="53" customFormat="1" ht="22.5" customHeight="1">
      <c r="A42" s="45"/>
      <c r="B42" s="46"/>
      <c r="C42" s="46"/>
      <c r="D42" s="114">
        <f>SUM(D11:D41)</f>
        <v>2868</v>
      </c>
      <c r="E42" s="114">
        <f>SUM(E11:E41)</f>
        <v>0</v>
      </c>
      <c r="F42" s="125">
        <f>SUM(F10:F41)</f>
        <v>25000000</v>
      </c>
      <c r="G42" s="125">
        <f>SUM(G10:G41)</f>
        <v>0</v>
      </c>
      <c r="H42" s="125">
        <f>SUM(H10:H41)</f>
        <v>6500</v>
      </c>
      <c r="I42" s="125">
        <f>SUM(I10:I41)</f>
        <v>0</v>
      </c>
      <c r="J42" s="119"/>
      <c r="K42" s="119"/>
      <c r="L42" s="119"/>
      <c r="M42" s="119"/>
      <c r="N42" s="120">
        <f>SUM(N11:N41)</f>
        <v>16</v>
      </c>
      <c r="O42" s="121"/>
      <c r="P42" s="125">
        <f>SUM(P10:P41)</f>
        <v>1750000</v>
      </c>
      <c r="Q42" s="115">
        <f t="shared" ref="Q42:V42" si="8">SUM(Q10:Q41)</f>
        <v>0</v>
      </c>
      <c r="R42" s="126">
        <f t="shared" si="8"/>
        <v>11</v>
      </c>
      <c r="S42" s="115">
        <f t="shared" si="8"/>
        <v>375000</v>
      </c>
      <c r="T42" s="115">
        <f t="shared" si="8"/>
        <v>1375000</v>
      </c>
      <c r="U42" s="115">
        <f t="shared" si="8"/>
        <v>0</v>
      </c>
      <c r="V42" s="115">
        <f t="shared" si="8"/>
        <v>0</v>
      </c>
      <c r="W42" s="115">
        <f>SUM(W10:W41)</f>
        <v>2</v>
      </c>
      <c r="X42" s="115">
        <f>SUM(X10:X41)</f>
        <v>100000</v>
      </c>
      <c r="Y42" s="115">
        <f>SUM(Y10:Y41)</f>
        <v>780000</v>
      </c>
      <c r="Z42" s="132">
        <f>SUM(Z10:Z41)</f>
        <v>29005000</v>
      </c>
      <c r="AA42" s="112">
        <f>F42+I42+P42+T42+V42+X42+Y42+Q42</f>
        <v>29005000</v>
      </c>
    </row>
    <row r="43" spans="1:27" s="37" customFormat="1" ht="9.75" customHeight="1">
      <c r="A43" s="54"/>
      <c r="B43" s="54"/>
      <c r="C43" s="54"/>
      <c r="D43" s="55"/>
      <c r="E43" s="56"/>
      <c r="F43" s="56"/>
      <c r="G43" s="56"/>
      <c r="H43" s="56"/>
      <c r="I43" s="56"/>
      <c r="J43" s="56"/>
      <c r="K43" s="56"/>
      <c r="L43" s="56"/>
      <c r="M43" s="56"/>
      <c r="N43" s="57"/>
      <c r="O43" s="58"/>
      <c r="P43" s="59"/>
      <c r="Q43" s="56"/>
      <c r="R43" s="56"/>
      <c r="S43" s="56"/>
      <c r="T43" s="60"/>
      <c r="U43" s="56"/>
      <c r="V43" s="56"/>
      <c r="W43" s="61"/>
      <c r="X43" s="59"/>
      <c r="Y43" s="59"/>
      <c r="Z43" s="59"/>
    </row>
    <row r="44" spans="1:27" ht="13.5" customHeight="1">
      <c r="A44" s="303" t="str">
        <f>A1</f>
        <v>CÔNG TY TNHH XÂY DỰNG VÀ VẬN TẢI ĐỨC HUY</v>
      </c>
      <c r="B44" s="304"/>
      <c r="C44" s="304"/>
      <c r="D44" s="304"/>
      <c r="E44" s="304"/>
      <c r="F44" s="304"/>
      <c r="G44" s="304"/>
      <c r="H44" s="304"/>
      <c r="I44" s="304"/>
      <c r="J44" s="304"/>
      <c r="K44" s="304"/>
      <c r="L44" s="304"/>
      <c r="M44" s="304"/>
      <c r="N44" s="304"/>
      <c r="O44" s="304" t="s">
        <v>32</v>
      </c>
      <c r="P44" s="304"/>
      <c r="Q44" s="304"/>
      <c r="R44" s="304"/>
      <c r="S44" s="304"/>
      <c r="T44" s="304"/>
      <c r="U44" s="304"/>
      <c r="V44" s="304"/>
      <c r="W44" s="304"/>
      <c r="X44" s="304"/>
      <c r="Y44" s="304"/>
      <c r="Z44" s="304"/>
      <c r="AA44" s="62"/>
    </row>
    <row r="45" spans="1:27">
      <c r="U45" s="305"/>
      <c r="V45" s="306"/>
      <c r="W45" s="306"/>
      <c r="X45" s="306"/>
      <c r="Y45" s="306"/>
      <c r="Z45" s="306"/>
    </row>
  </sheetData>
  <sheetProtection selectLockedCells="1" selectUnlockedCells="1"/>
  <autoFilter ref="A9:CN42" xr:uid="{00000000-0009-0000-0000-000008000000}"/>
  <mergeCells count="26">
    <mergeCell ref="A44:N44"/>
    <mergeCell ref="O44:Z44"/>
    <mergeCell ref="U45:Z45"/>
    <mergeCell ref="N8:P8"/>
    <mergeCell ref="Q8:Q9"/>
    <mergeCell ref="R8:T8"/>
    <mergeCell ref="U8:V8"/>
    <mergeCell ref="W8:X8"/>
    <mergeCell ref="Y8:Y9"/>
    <mergeCell ref="A6:Z6"/>
    <mergeCell ref="V7:Z7"/>
    <mergeCell ref="A8:A9"/>
    <mergeCell ref="B8:B9"/>
    <mergeCell ref="C8:C9"/>
    <mergeCell ref="D8:D9"/>
    <mergeCell ref="E8:F8"/>
    <mergeCell ref="G8:I8"/>
    <mergeCell ref="J8:J9"/>
    <mergeCell ref="K8:K9"/>
    <mergeCell ref="Z8:Z9"/>
    <mergeCell ref="A5:Z5"/>
    <mergeCell ref="A1:J1"/>
    <mergeCell ref="P1:Z1"/>
    <mergeCell ref="P2:Z2"/>
    <mergeCell ref="A3:Z3"/>
    <mergeCell ref="A4:Z4"/>
  </mergeCells>
  <phoneticPr fontId="30" type="noConversion"/>
  <pageMargins left="0" right="0.25" top="0.23622047244094499" bottom="0" header="0" footer="0"/>
  <pageSetup paperSize="9" scale="53" orientation="landscape" r:id="rId1"/>
  <colBreaks count="1" manualBreakCount="1">
    <brk id="26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C50"/>
  <sheetViews>
    <sheetView view="pageBreakPreview" topLeftCell="A11" zoomScale="70" zoomScaleNormal="85" zoomScaleSheetLayoutView="70" workbookViewId="0">
      <selection activeCell="K28" sqref="K28"/>
    </sheetView>
  </sheetViews>
  <sheetFormatPr defaultColWidth="9.28515625" defaultRowHeight="15"/>
  <cols>
    <col min="1" max="2" width="11.28515625" style="36" customWidth="1"/>
    <col min="3" max="3" width="13" style="36" customWidth="1"/>
    <col min="4" max="4" width="8.140625" style="34" customWidth="1"/>
    <col min="5" max="5" width="7.28515625" style="34" customWidth="1"/>
    <col min="6" max="6" width="15.85546875" style="34" customWidth="1"/>
    <col min="7" max="7" width="11.140625" style="34" customWidth="1"/>
    <col min="8" max="8" width="11" style="34" customWidth="1"/>
    <col min="9" max="9" width="15.140625" style="34" customWidth="1"/>
    <col min="10" max="11" width="8.28515625" style="167" customWidth="1"/>
    <col min="12" max="12" width="10" style="159" customWidth="1"/>
    <col min="13" max="13" width="10" style="34" hidden="1" customWidth="1"/>
    <col min="14" max="14" width="7.85546875" style="34" customWidth="1"/>
    <col min="15" max="15" width="9.7109375" style="35" customWidth="1"/>
    <col min="16" max="16" width="14.28515625" style="34" customWidth="1"/>
    <col min="17" max="17" width="15.28515625" style="34" customWidth="1"/>
    <col min="18" max="18" width="9.28515625" style="34" customWidth="1"/>
    <col min="19" max="19" width="13.28515625" style="34" customWidth="1"/>
    <col min="20" max="20" width="15.28515625" style="34" customWidth="1"/>
    <col min="21" max="21" width="10.140625" style="34" customWidth="1"/>
    <col min="22" max="22" width="9.28515625" style="34" customWidth="1"/>
    <col min="23" max="23" width="9.28515625" style="63" customWidth="1"/>
    <col min="24" max="24" width="13.140625" style="34" customWidth="1"/>
    <col min="25" max="25" width="11.85546875" style="34" customWidth="1"/>
    <col min="26" max="26" width="16.28515625" style="34" customWidth="1"/>
    <col min="27" max="27" width="33.28515625" style="34" customWidth="1"/>
    <col min="28" max="16384" width="9.28515625" style="34"/>
  </cols>
  <sheetData>
    <row r="1" spans="1:28" s="33" customFormat="1" ht="15.75">
      <c r="A1" s="326" t="s">
        <v>78</v>
      </c>
      <c r="B1" s="327"/>
      <c r="C1" s="327"/>
      <c r="D1" s="327"/>
      <c r="E1" s="327"/>
      <c r="F1" s="327"/>
      <c r="G1" s="327"/>
      <c r="H1" s="327"/>
      <c r="I1" s="327"/>
      <c r="J1" s="327"/>
      <c r="K1" s="165"/>
      <c r="L1" s="158"/>
      <c r="O1" s="32"/>
      <c r="P1" s="316" t="s">
        <v>0</v>
      </c>
      <c r="Q1" s="316"/>
      <c r="R1" s="316"/>
      <c r="S1" s="316"/>
      <c r="T1" s="316"/>
      <c r="U1" s="316"/>
      <c r="V1" s="316"/>
      <c r="W1" s="316"/>
      <c r="X1" s="316"/>
      <c r="Y1" s="316"/>
      <c r="Z1" s="316"/>
    </row>
    <row r="2" spans="1:28" s="33" customFormat="1" ht="15.75">
      <c r="A2" s="110" t="s">
        <v>79</v>
      </c>
      <c r="B2" s="110"/>
      <c r="C2" s="110"/>
      <c r="D2" s="111"/>
      <c r="E2" s="110"/>
      <c r="F2" s="110"/>
      <c r="G2" s="110"/>
      <c r="H2" s="110"/>
      <c r="I2" s="110"/>
      <c r="J2" s="166"/>
      <c r="K2" s="167"/>
      <c r="L2" s="159"/>
      <c r="M2" s="34"/>
      <c r="N2" s="34"/>
      <c r="O2" s="35"/>
      <c r="P2" s="316" t="s">
        <v>1</v>
      </c>
      <c r="Q2" s="316"/>
      <c r="R2" s="316"/>
      <c r="S2" s="316"/>
      <c r="T2" s="316"/>
      <c r="U2" s="316"/>
      <c r="V2" s="316"/>
      <c r="W2" s="316"/>
      <c r="X2" s="316"/>
      <c r="Y2" s="316"/>
      <c r="Z2" s="316"/>
    </row>
    <row r="3" spans="1:28" s="33" customFormat="1" ht="29.25" customHeight="1">
      <c r="A3" s="321" t="s">
        <v>3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</row>
    <row r="4" spans="1:28" s="33" customFormat="1" ht="32.25" customHeight="1">
      <c r="A4" s="321" t="s">
        <v>82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316"/>
    </row>
    <row r="5" spans="1:28" s="33" customFormat="1" ht="15.75">
      <c r="A5" s="315" t="s">
        <v>35</v>
      </c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  <c r="W5" s="315"/>
      <c r="X5" s="315"/>
      <c r="Y5" s="315"/>
      <c r="Z5" s="315"/>
    </row>
    <row r="6" spans="1:28" s="33" customFormat="1" ht="15.75">
      <c r="A6" s="316" t="s">
        <v>31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  <c r="Y6" s="316"/>
      <c r="Z6" s="316"/>
    </row>
    <row r="7" spans="1:28" ht="12" hidden="1" customHeight="1">
      <c r="V7" s="317" t="s">
        <v>2</v>
      </c>
      <c r="W7" s="317"/>
      <c r="X7" s="317"/>
      <c r="Y7" s="317"/>
      <c r="Z7" s="317"/>
    </row>
    <row r="8" spans="1:28" s="37" customFormat="1" ht="50.25" customHeight="1">
      <c r="A8" s="318" t="s">
        <v>4</v>
      </c>
      <c r="B8" s="318" t="s">
        <v>27</v>
      </c>
      <c r="C8" s="318" t="s">
        <v>28</v>
      </c>
      <c r="D8" s="307" t="s">
        <v>5</v>
      </c>
      <c r="E8" s="312" t="s">
        <v>6</v>
      </c>
      <c r="F8" s="312"/>
      <c r="G8" s="312" t="s">
        <v>7</v>
      </c>
      <c r="H8" s="312"/>
      <c r="I8" s="312"/>
      <c r="J8" s="339" t="s">
        <v>13</v>
      </c>
      <c r="K8" s="339" t="s">
        <v>14</v>
      </c>
      <c r="L8" s="341" t="s">
        <v>80</v>
      </c>
      <c r="M8" s="68"/>
      <c r="N8" s="309" t="s">
        <v>15</v>
      </c>
      <c r="O8" s="310"/>
      <c r="P8" s="311"/>
      <c r="Q8" s="307" t="s">
        <v>18</v>
      </c>
      <c r="R8" s="312" t="s">
        <v>19</v>
      </c>
      <c r="S8" s="312"/>
      <c r="T8" s="312"/>
      <c r="U8" s="324" t="s">
        <v>22</v>
      </c>
      <c r="V8" s="325"/>
      <c r="W8" s="313" t="s">
        <v>23</v>
      </c>
      <c r="X8" s="314"/>
      <c r="Y8" s="307" t="s">
        <v>25</v>
      </c>
      <c r="Z8" s="307" t="s">
        <v>26</v>
      </c>
      <c r="AA8" s="122"/>
    </row>
    <row r="9" spans="1:28" s="37" customFormat="1" ht="64.5" customHeight="1">
      <c r="A9" s="319"/>
      <c r="B9" s="320"/>
      <c r="C9" s="320"/>
      <c r="D9" s="308"/>
      <c r="E9" s="67" t="s">
        <v>8</v>
      </c>
      <c r="F9" s="67" t="s">
        <v>9</v>
      </c>
      <c r="G9" s="67" t="s">
        <v>10</v>
      </c>
      <c r="H9" s="67" t="s">
        <v>11</v>
      </c>
      <c r="I9" s="67" t="s">
        <v>12</v>
      </c>
      <c r="J9" s="340"/>
      <c r="K9" s="340"/>
      <c r="L9" s="342"/>
      <c r="M9" s="66"/>
      <c r="N9" s="67" t="s">
        <v>16</v>
      </c>
      <c r="O9" s="67" t="s">
        <v>11</v>
      </c>
      <c r="P9" s="67" t="s">
        <v>17</v>
      </c>
      <c r="Q9" s="308"/>
      <c r="R9" s="67" t="s">
        <v>16</v>
      </c>
      <c r="S9" s="67" t="s">
        <v>11</v>
      </c>
      <c r="T9" s="67" t="s">
        <v>12</v>
      </c>
      <c r="U9" s="67" t="s">
        <v>11</v>
      </c>
      <c r="V9" s="67" t="s">
        <v>12</v>
      </c>
      <c r="W9" s="38" t="s">
        <v>24</v>
      </c>
      <c r="X9" s="67" t="s">
        <v>12</v>
      </c>
      <c r="Y9" s="308"/>
      <c r="Z9" s="308"/>
    </row>
    <row r="10" spans="1:28" s="37" customFormat="1" ht="22.5" customHeight="1">
      <c r="A10" s="39"/>
      <c r="B10" s="39"/>
      <c r="C10" s="39"/>
      <c r="D10" s="40"/>
      <c r="E10" s="41">
        <v>3000</v>
      </c>
      <c r="F10" s="41">
        <v>25000000</v>
      </c>
      <c r="G10" s="41">
        <f>+D42-E10</f>
        <v>4291</v>
      </c>
      <c r="H10" s="41">
        <v>6500</v>
      </c>
      <c r="I10" s="41">
        <f>G10*H10</f>
        <v>27891500</v>
      </c>
      <c r="J10" s="116"/>
      <c r="K10" s="116"/>
      <c r="L10" s="160"/>
      <c r="M10" s="41"/>
      <c r="N10" s="40"/>
      <c r="O10" s="117"/>
      <c r="P10" s="41"/>
      <c r="Q10" s="41"/>
      <c r="R10" s="41"/>
      <c r="S10" s="41"/>
      <c r="T10" s="40"/>
      <c r="U10" s="41"/>
      <c r="V10" s="41"/>
      <c r="W10" s="43"/>
      <c r="X10" s="41"/>
      <c r="Y10" s="41"/>
      <c r="Z10" s="44">
        <f>F10+I10+P10+Q10+S10+V10+X10+Y10</f>
        <v>52891500</v>
      </c>
    </row>
    <row r="11" spans="1:28" s="15" customFormat="1" ht="22.5" customHeight="1">
      <c r="A11" s="127">
        <v>45139</v>
      </c>
      <c r="B11" s="109">
        <v>128902</v>
      </c>
      <c r="C11" s="113">
        <v>129242</v>
      </c>
      <c r="D11" s="113">
        <f t="shared" ref="D11:D40" si="0">C11-B11</f>
        <v>340</v>
      </c>
      <c r="E11" s="106"/>
      <c r="F11" s="106"/>
      <c r="G11" s="106"/>
      <c r="H11" s="106"/>
      <c r="I11" s="106"/>
      <c r="J11" s="116">
        <v>0.29166666666666669</v>
      </c>
      <c r="K11" s="169">
        <v>0</v>
      </c>
      <c r="L11" s="161">
        <v>2</v>
      </c>
      <c r="M11" s="157"/>
      <c r="N11" s="104">
        <v>1</v>
      </c>
      <c r="O11" s="105">
        <f>100000+100000</f>
        <v>200000</v>
      </c>
      <c r="P11" s="118">
        <f>N11*O11</f>
        <v>200000</v>
      </c>
      <c r="Q11" s="106"/>
      <c r="R11" s="106"/>
      <c r="S11" s="106"/>
      <c r="T11" s="137"/>
      <c r="U11" s="106"/>
      <c r="V11" s="106"/>
      <c r="W11" s="15">
        <v>1</v>
      </c>
      <c r="X11" s="118">
        <f t="shared" ref="X11:X18" si="1">W11*50000</f>
        <v>50000</v>
      </c>
      <c r="Y11" s="118">
        <v>70000</v>
      </c>
      <c r="Z11" s="139">
        <f>SUM(I11+P11+Q11+V11+X11+Y11+T11)</f>
        <v>320000</v>
      </c>
      <c r="AB11" s="16"/>
    </row>
    <row r="12" spans="1:28" s="37" customFormat="1" ht="22.5" customHeight="1">
      <c r="A12" s="127">
        <v>45140</v>
      </c>
      <c r="B12" s="109">
        <v>129246</v>
      </c>
      <c r="C12" s="113">
        <v>129428</v>
      </c>
      <c r="D12" s="113">
        <f t="shared" si="0"/>
        <v>182</v>
      </c>
      <c r="E12" s="106"/>
      <c r="F12" s="106"/>
      <c r="G12" s="106"/>
      <c r="H12" s="106"/>
      <c r="I12" s="106"/>
      <c r="J12" s="116">
        <v>0.29166666666666669</v>
      </c>
      <c r="K12" s="116">
        <v>0.83333333333333337</v>
      </c>
      <c r="L12" s="161"/>
      <c r="M12" s="107"/>
      <c r="N12" s="104">
        <v>1</v>
      </c>
      <c r="O12" s="105">
        <v>100000</v>
      </c>
      <c r="P12" s="118">
        <f t="shared" ref="P12:P41" si="2">N12*O12</f>
        <v>100000</v>
      </c>
      <c r="Q12" s="106"/>
      <c r="R12" s="106"/>
      <c r="S12" s="106"/>
      <c r="T12" s="137"/>
      <c r="U12" s="106"/>
      <c r="V12" s="106"/>
      <c r="W12" s="138"/>
      <c r="X12" s="118">
        <f t="shared" si="1"/>
        <v>0</v>
      </c>
      <c r="Y12" s="118">
        <v>30000</v>
      </c>
      <c r="Z12" s="139">
        <f t="shared" ref="Z12:Z41" si="3">SUM(I12+P12+Q12+V12+X12+Y12+T12)</f>
        <v>130000</v>
      </c>
      <c r="AB12" s="170"/>
    </row>
    <row r="13" spans="1:28" s="37" customFormat="1" ht="22.5" customHeight="1">
      <c r="A13" s="127">
        <v>45141</v>
      </c>
      <c r="B13" s="109">
        <v>129432</v>
      </c>
      <c r="C13" s="113">
        <v>129616</v>
      </c>
      <c r="D13" s="113">
        <f t="shared" si="0"/>
        <v>184</v>
      </c>
      <c r="E13" s="106"/>
      <c r="F13" s="106"/>
      <c r="G13" s="106"/>
      <c r="H13" s="106"/>
      <c r="I13" s="106"/>
      <c r="J13" s="116">
        <v>0.29166666666666669</v>
      </c>
      <c r="K13" s="116">
        <v>0.83333333333333337</v>
      </c>
      <c r="L13" s="140"/>
      <c r="M13" s="77"/>
      <c r="N13" s="104">
        <v>1</v>
      </c>
      <c r="O13" s="105">
        <v>100000</v>
      </c>
      <c r="P13" s="118">
        <f t="shared" si="2"/>
        <v>100000</v>
      </c>
      <c r="Q13" s="147"/>
      <c r="R13" s="106"/>
      <c r="S13" s="106"/>
      <c r="T13" s="137"/>
      <c r="U13" s="106"/>
      <c r="V13" s="106"/>
      <c r="W13" s="138"/>
      <c r="X13" s="118">
        <f t="shared" si="1"/>
        <v>0</v>
      </c>
      <c r="Y13" s="118"/>
      <c r="Z13" s="139">
        <f t="shared" si="3"/>
        <v>100000</v>
      </c>
      <c r="AB13" s="170"/>
    </row>
    <row r="14" spans="1:28" s="37" customFormat="1" ht="22.5" customHeight="1">
      <c r="A14" s="127">
        <v>45142</v>
      </c>
      <c r="B14" s="109">
        <v>129622</v>
      </c>
      <c r="C14" s="113">
        <v>129773</v>
      </c>
      <c r="D14" s="113">
        <f t="shared" si="0"/>
        <v>151</v>
      </c>
      <c r="E14" s="106"/>
      <c r="F14" s="106"/>
      <c r="G14" s="106"/>
      <c r="H14" s="106"/>
      <c r="I14" s="106"/>
      <c r="J14" s="116">
        <v>0.29166666666666669</v>
      </c>
      <c r="K14" s="116">
        <v>0.85416666666666663</v>
      </c>
      <c r="L14" s="140"/>
      <c r="M14" s="77"/>
      <c r="N14" s="104">
        <v>1</v>
      </c>
      <c r="O14" s="105">
        <v>100000</v>
      </c>
      <c r="P14" s="118">
        <f t="shared" si="2"/>
        <v>100000</v>
      </c>
      <c r="Q14" s="106"/>
      <c r="R14" s="106"/>
      <c r="S14" s="106"/>
      <c r="T14" s="140"/>
      <c r="U14" s="106"/>
      <c r="V14" s="106"/>
      <c r="W14" s="138"/>
      <c r="X14" s="118">
        <f t="shared" si="1"/>
        <v>0</v>
      </c>
      <c r="Y14" s="118"/>
      <c r="Z14" s="139">
        <f t="shared" si="3"/>
        <v>100000</v>
      </c>
      <c r="AB14" s="170"/>
    </row>
    <row r="15" spans="1:28" s="37" customFormat="1" ht="22.5" customHeight="1">
      <c r="A15" s="127">
        <v>45143</v>
      </c>
      <c r="B15" s="109">
        <v>129781</v>
      </c>
      <c r="C15" s="113">
        <v>130141</v>
      </c>
      <c r="D15" s="113">
        <f t="shared" si="0"/>
        <v>360</v>
      </c>
      <c r="E15" s="106"/>
      <c r="F15" s="106"/>
      <c r="G15" s="106"/>
      <c r="H15" s="106"/>
      <c r="I15" s="106"/>
      <c r="J15" s="169">
        <v>0.22916666666666666</v>
      </c>
      <c r="K15" s="116">
        <v>0.66666666666666663</v>
      </c>
      <c r="L15" s="140">
        <v>1.5</v>
      </c>
      <c r="M15" s="77"/>
      <c r="N15" s="104"/>
      <c r="O15" s="105">
        <v>75000</v>
      </c>
      <c r="P15" s="118">
        <f>O15</f>
        <v>75000</v>
      </c>
      <c r="Q15" s="106"/>
      <c r="R15" s="106"/>
      <c r="S15" s="106"/>
      <c r="T15" s="137"/>
      <c r="U15" s="106"/>
      <c r="V15" s="106"/>
      <c r="W15" s="138"/>
      <c r="X15" s="118">
        <f t="shared" si="1"/>
        <v>0</v>
      </c>
      <c r="Y15" s="118">
        <v>18000</v>
      </c>
      <c r="Z15" s="139">
        <f t="shared" si="3"/>
        <v>93000</v>
      </c>
      <c r="AB15" s="170"/>
    </row>
    <row r="16" spans="1:28" s="148" customFormat="1" ht="22.5" customHeight="1">
      <c r="A16" s="129">
        <v>45144</v>
      </c>
      <c r="B16" s="130"/>
      <c r="C16" s="131"/>
      <c r="D16" s="131">
        <f t="shared" si="0"/>
        <v>0</v>
      </c>
      <c r="E16" s="150"/>
      <c r="F16" s="150"/>
      <c r="G16" s="150"/>
      <c r="H16" s="150"/>
      <c r="I16" s="150"/>
      <c r="J16" s="72"/>
      <c r="K16" s="72"/>
      <c r="L16" s="162"/>
      <c r="M16" s="74"/>
      <c r="N16" s="133"/>
      <c r="O16" s="134">
        <v>100000</v>
      </c>
      <c r="P16" s="151">
        <f t="shared" si="2"/>
        <v>0</v>
      </c>
      <c r="Q16" s="152"/>
      <c r="R16" s="150"/>
      <c r="S16" s="150"/>
      <c r="T16" s="162"/>
      <c r="U16" s="150"/>
      <c r="V16" s="150"/>
      <c r="W16" s="154"/>
      <c r="X16" s="151">
        <f t="shared" si="1"/>
        <v>0</v>
      </c>
      <c r="Y16" s="151"/>
      <c r="Z16" s="155">
        <f t="shared" si="3"/>
        <v>0</v>
      </c>
      <c r="AB16" s="149"/>
    </row>
    <row r="17" spans="1:29" s="37" customFormat="1" ht="22.5" customHeight="1">
      <c r="A17" s="127">
        <v>45145</v>
      </c>
      <c r="B17" s="109">
        <v>130148</v>
      </c>
      <c r="C17" s="113">
        <v>130349</v>
      </c>
      <c r="D17" s="113">
        <f t="shared" si="0"/>
        <v>201</v>
      </c>
      <c r="E17" s="106"/>
      <c r="F17" s="106"/>
      <c r="G17" s="106"/>
      <c r="H17" s="106"/>
      <c r="I17" s="106"/>
      <c r="J17" s="116">
        <v>0.29166666666666669</v>
      </c>
      <c r="K17" s="116">
        <v>0.89583333333333337</v>
      </c>
      <c r="L17" s="140"/>
      <c r="M17" s="77"/>
      <c r="N17" s="104">
        <v>1</v>
      </c>
      <c r="O17" s="105">
        <v>100000</v>
      </c>
      <c r="P17" s="118">
        <f t="shared" si="2"/>
        <v>100000</v>
      </c>
      <c r="Q17" s="147"/>
      <c r="R17" s="147"/>
      <c r="S17" s="106"/>
      <c r="T17" s="141"/>
      <c r="U17" s="106"/>
      <c r="V17" s="106"/>
      <c r="W17" s="138"/>
      <c r="X17" s="118">
        <f>W17*50000</f>
        <v>0</v>
      </c>
      <c r="Y17" s="118"/>
      <c r="Z17" s="139">
        <f t="shared" si="3"/>
        <v>100000</v>
      </c>
      <c r="AB17" s="170"/>
    </row>
    <row r="18" spans="1:29" s="171" customFormat="1" ht="22.5" customHeight="1">
      <c r="A18" s="127">
        <v>45146</v>
      </c>
      <c r="B18" s="109">
        <v>130354</v>
      </c>
      <c r="C18" s="113">
        <v>130638</v>
      </c>
      <c r="D18" s="113">
        <f t="shared" si="0"/>
        <v>284</v>
      </c>
      <c r="E18" s="106"/>
      <c r="F18" s="106"/>
      <c r="G18" s="106"/>
      <c r="H18" s="106"/>
      <c r="I18" s="106"/>
      <c r="J18" s="116">
        <v>0.29166666666666669</v>
      </c>
      <c r="K18" s="116">
        <v>0.85416666666666663</v>
      </c>
      <c r="L18" s="140"/>
      <c r="M18" s="77"/>
      <c r="N18" s="104">
        <v>1</v>
      </c>
      <c r="O18" s="105">
        <v>100000</v>
      </c>
      <c r="P18" s="118">
        <f t="shared" si="2"/>
        <v>100000</v>
      </c>
      <c r="Q18" s="106"/>
      <c r="R18" s="106"/>
      <c r="S18" s="106"/>
      <c r="T18" s="141"/>
      <c r="U18" s="106"/>
      <c r="V18" s="106"/>
      <c r="W18" s="138"/>
      <c r="X18" s="118">
        <f t="shared" si="1"/>
        <v>0</v>
      </c>
      <c r="Y18" s="118">
        <f>70000+50000</f>
        <v>120000</v>
      </c>
      <c r="Z18" s="139">
        <f t="shared" si="3"/>
        <v>220000</v>
      </c>
      <c r="AB18" s="172"/>
    </row>
    <row r="19" spans="1:29" s="37" customFormat="1" ht="22.5" customHeight="1">
      <c r="A19" s="127">
        <v>45147</v>
      </c>
      <c r="B19" s="109">
        <v>130642</v>
      </c>
      <c r="C19" s="173">
        <v>130737</v>
      </c>
      <c r="D19" s="113">
        <f>C19-B19</f>
        <v>95</v>
      </c>
      <c r="E19" s="106"/>
      <c r="F19" s="106"/>
      <c r="G19" s="106"/>
      <c r="H19" s="106"/>
      <c r="I19" s="106"/>
      <c r="J19" s="116">
        <v>0.29166666666666669</v>
      </c>
      <c r="K19" s="116">
        <v>0.83333333333333337</v>
      </c>
      <c r="L19" s="140"/>
      <c r="M19" s="77"/>
      <c r="N19" s="104">
        <v>1</v>
      </c>
      <c r="O19" s="105">
        <v>100000</v>
      </c>
      <c r="P19" s="118">
        <f t="shared" si="2"/>
        <v>100000</v>
      </c>
      <c r="Q19" s="106"/>
      <c r="R19" s="106"/>
      <c r="S19" s="106"/>
      <c r="T19" s="141"/>
      <c r="U19" s="106"/>
      <c r="V19" s="106"/>
      <c r="W19" s="138"/>
      <c r="X19" s="118">
        <f>W19*50000</f>
        <v>0</v>
      </c>
      <c r="Y19" s="118"/>
      <c r="Z19" s="139">
        <f t="shared" si="3"/>
        <v>100000</v>
      </c>
      <c r="AA19" s="37">
        <v>1</v>
      </c>
      <c r="AB19" s="170"/>
    </row>
    <row r="20" spans="1:29" s="171" customFormat="1" ht="22.5" customHeight="1">
      <c r="A20" s="127">
        <v>45148</v>
      </c>
      <c r="B20" s="109">
        <v>130741</v>
      </c>
      <c r="C20" s="113">
        <v>130875</v>
      </c>
      <c r="D20" s="113">
        <f t="shared" si="0"/>
        <v>134</v>
      </c>
      <c r="E20" s="106"/>
      <c r="F20" s="108"/>
      <c r="G20" s="108"/>
      <c r="H20" s="108"/>
      <c r="I20" s="108"/>
      <c r="J20" s="116">
        <v>0.29166666666666669</v>
      </c>
      <c r="K20" s="116">
        <v>0.85416666666666663</v>
      </c>
      <c r="L20" s="163"/>
      <c r="M20" s="107"/>
      <c r="N20" s="104">
        <v>1</v>
      </c>
      <c r="O20" s="105">
        <v>100000</v>
      </c>
      <c r="P20" s="118">
        <f t="shared" si="2"/>
        <v>100000</v>
      </c>
      <c r="Q20" s="147"/>
      <c r="R20" s="106"/>
      <c r="S20" s="106"/>
      <c r="T20" s="140"/>
      <c r="U20" s="106"/>
      <c r="V20" s="106"/>
      <c r="W20" s="138"/>
      <c r="X20" s="118">
        <f t="shared" ref="X20:X41" si="4">W20*50000</f>
        <v>0</v>
      </c>
      <c r="Y20" s="118"/>
      <c r="Z20" s="139">
        <f t="shared" si="3"/>
        <v>100000</v>
      </c>
      <c r="AB20" s="172"/>
    </row>
    <row r="21" spans="1:29" s="37" customFormat="1" ht="23.25" customHeight="1">
      <c r="A21" s="127">
        <v>45149</v>
      </c>
      <c r="B21" s="109">
        <v>130879</v>
      </c>
      <c r="C21" s="113">
        <v>130951</v>
      </c>
      <c r="D21" s="113">
        <f t="shared" si="0"/>
        <v>72</v>
      </c>
      <c r="E21" s="106"/>
      <c r="F21" s="106"/>
      <c r="G21" s="106"/>
      <c r="H21" s="106"/>
      <c r="I21" s="106"/>
      <c r="J21" s="116">
        <v>0.29166666666666669</v>
      </c>
      <c r="K21" s="116">
        <v>0.85416666666666663</v>
      </c>
      <c r="L21" s="140"/>
      <c r="M21" s="77"/>
      <c r="N21" s="104">
        <v>1</v>
      </c>
      <c r="O21" s="105">
        <v>100000</v>
      </c>
      <c r="P21" s="118">
        <f t="shared" si="2"/>
        <v>100000</v>
      </c>
      <c r="Q21" s="147"/>
      <c r="R21" s="106"/>
      <c r="S21" s="106"/>
      <c r="T21" s="140"/>
      <c r="U21" s="106"/>
      <c r="V21" s="106"/>
      <c r="W21" s="138"/>
      <c r="X21" s="118">
        <f>W21*50000</f>
        <v>0</v>
      </c>
      <c r="Y21" s="118"/>
      <c r="Z21" s="139">
        <f t="shared" si="3"/>
        <v>100000</v>
      </c>
      <c r="AB21" s="170"/>
    </row>
    <row r="22" spans="1:29" s="37" customFormat="1" ht="22.5" customHeight="1">
      <c r="A22" s="127">
        <v>45150</v>
      </c>
      <c r="B22" s="109">
        <v>130956</v>
      </c>
      <c r="C22" s="113">
        <v>131170</v>
      </c>
      <c r="D22" s="113">
        <f t="shared" si="0"/>
        <v>214</v>
      </c>
      <c r="E22" s="106"/>
      <c r="F22" s="106"/>
      <c r="G22" s="106"/>
      <c r="H22" s="106"/>
      <c r="I22" s="106"/>
      <c r="J22" s="169">
        <v>0.20833333333333334</v>
      </c>
      <c r="K22" s="116">
        <v>0.79166666666666663</v>
      </c>
      <c r="L22" s="140">
        <v>2</v>
      </c>
      <c r="M22" s="77"/>
      <c r="N22" s="104">
        <v>1</v>
      </c>
      <c r="O22" s="105">
        <f>100000+100000</f>
        <v>200000</v>
      </c>
      <c r="P22" s="118">
        <f t="shared" si="2"/>
        <v>200000</v>
      </c>
      <c r="Q22" s="106"/>
      <c r="R22" s="106"/>
      <c r="S22" s="106"/>
      <c r="T22" s="141"/>
      <c r="U22" s="106"/>
      <c r="V22" s="106"/>
      <c r="W22" s="138"/>
      <c r="X22" s="118">
        <f t="shared" si="4"/>
        <v>0</v>
      </c>
      <c r="Y22" s="118">
        <v>9000</v>
      </c>
      <c r="Z22" s="139">
        <f t="shared" si="3"/>
        <v>209000</v>
      </c>
      <c r="AB22" s="170"/>
      <c r="AC22" s="37" t="s">
        <v>77</v>
      </c>
    </row>
    <row r="23" spans="1:29" s="148" customFormat="1" ht="22.5" customHeight="1">
      <c r="A23" s="129">
        <v>45151</v>
      </c>
      <c r="B23" s="130">
        <v>131178</v>
      </c>
      <c r="C23" s="131">
        <v>131336</v>
      </c>
      <c r="D23" s="131">
        <f t="shared" si="0"/>
        <v>158</v>
      </c>
      <c r="E23" s="150"/>
      <c r="F23" s="150"/>
      <c r="G23" s="150"/>
      <c r="H23" s="150"/>
      <c r="I23" s="150"/>
      <c r="J23" s="72">
        <v>0.64583333333333337</v>
      </c>
      <c r="K23" s="72">
        <v>0.77083333333333337</v>
      </c>
      <c r="L23" s="162">
        <v>0.5</v>
      </c>
      <c r="M23" s="74"/>
      <c r="N23" s="133"/>
      <c r="O23" s="134">
        <f>0.5*50000</f>
        <v>25000</v>
      </c>
      <c r="P23" s="151">
        <v>25000</v>
      </c>
      <c r="Q23" s="152"/>
      <c r="R23" s="152">
        <v>2.5</v>
      </c>
      <c r="S23" s="150">
        <f>1000000/8</f>
        <v>125000</v>
      </c>
      <c r="T23" s="153">
        <f>R23*S23</f>
        <v>312500</v>
      </c>
      <c r="U23" s="150"/>
      <c r="V23" s="150"/>
      <c r="W23" s="154"/>
      <c r="X23" s="151">
        <f t="shared" si="4"/>
        <v>0</v>
      </c>
      <c r="Y23" s="151">
        <v>13000</v>
      </c>
      <c r="Z23" s="155">
        <f t="shared" si="3"/>
        <v>350500</v>
      </c>
      <c r="AB23" s="149"/>
    </row>
    <row r="24" spans="1:29" s="37" customFormat="1" ht="22.5" customHeight="1">
      <c r="A24" s="127">
        <v>45152</v>
      </c>
      <c r="B24" s="109">
        <v>131340</v>
      </c>
      <c r="C24" s="113">
        <v>131579</v>
      </c>
      <c r="D24" s="113">
        <f t="shared" si="0"/>
        <v>239</v>
      </c>
      <c r="E24" s="106"/>
      <c r="F24" s="106"/>
      <c r="G24" s="106"/>
      <c r="H24" s="106"/>
      <c r="I24" s="106"/>
      <c r="J24" s="116">
        <v>0.29166666666666669</v>
      </c>
      <c r="K24" s="116">
        <v>0.85416666666666663</v>
      </c>
      <c r="L24" s="140"/>
      <c r="M24" s="77"/>
      <c r="N24" s="104">
        <v>1</v>
      </c>
      <c r="O24" s="105">
        <v>100000</v>
      </c>
      <c r="P24" s="118">
        <f t="shared" si="2"/>
        <v>100000</v>
      </c>
      <c r="Q24" s="106"/>
      <c r="R24" s="147"/>
      <c r="S24" s="106"/>
      <c r="T24" s="141"/>
      <c r="U24" s="106"/>
      <c r="V24" s="106"/>
      <c r="W24" s="138"/>
      <c r="X24" s="118">
        <f t="shared" si="4"/>
        <v>0</v>
      </c>
      <c r="Y24" s="118"/>
      <c r="Z24" s="139">
        <f t="shared" si="3"/>
        <v>100000</v>
      </c>
      <c r="AB24" s="170"/>
    </row>
    <row r="25" spans="1:29" s="171" customFormat="1" ht="22.5" customHeight="1">
      <c r="A25" s="127">
        <v>45153</v>
      </c>
      <c r="B25" s="109">
        <v>131583</v>
      </c>
      <c r="C25" s="113">
        <v>131841</v>
      </c>
      <c r="D25" s="113">
        <f t="shared" si="0"/>
        <v>258</v>
      </c>
      <c r="E25" s="106"/>
      <c r="F25" s="106"/>
      <c r="G25" s="106"/>
      <c r="H25" s="106"/>
      <c r="I25" s="106"/>
      <c r="J25" s="116">
        <v>0.29166666666666669</v>
      </c>
      <c r="K25" s="116">
        <v>0.85416666666666663</v>
      </c>
      <c r="L25" s="140"/>
      <c r="M25" s="77"/>
      <c r="N25" s="104">
        <v>1</v>
      </c>
      <c r="O25" s="105">
        <v>100000</v>
      </c>
      <c r="P25" s="118">
        <f t="shared" si="2"/>
        <v>100000</v>
      </c>
      <c r="Q25" s="106"/>
      <c r="R25" s="106"/>
      <c r="S25" s="106"/>
      <c r="T25" s="141"/>
      <c r="U25" s="106"/>
      <c r="V25" s="106"/>
      <c r="W25" s="138">
        <v>1</v>
      </c>
      <c r="X25" s="118">
        <f t="shared" si="4"/>
        <v>50000</v>
      </c>
      <c r="Y25" s="118"/>
      <c r="Z25" s="139">
        <f t="shared" si="3"/>
        <v>150000</v>
      </c>
      <c r="AB25" s="172"/>
    </row>
    <row r="26" spans="1:29" s="37" customFormat="1" ht="22.5" customHeight="1">
      <c r="A26" s="127">
        <v>45154</v>
      </c>
      <c r="B26" s="109">
        <v>131846</v>
      </c>
      <c r="C26" s="113">
        <v>132011</v>
      </c>
      <c r="D26" s="113">
        <f t="shared" si="0"/>
        <v>165</v>
      </c>
      <c r="E26" s="106"/>
      <c r="F26" s="106"/>
      <c r="G26" s="106"/>
      <c r="H26" s="106"/>
      <c r="I26" s="106"/>
      <c r="J26" s="116">
        <v>0.29166666666666669</v>
      </c>
      <c r="K26" s="116">
        <v>0.83333333333333337</v>
      </c>
      <c r="L26" s="140"/>
      <c r="M26" s="77"/>
      <c r="N26" s="104">
        <v>1</v>
      </c>
      <c r="O26" s="105">
        <v>100000</v>
      </c>
      <c r="P26" s="118">
        <f t="shared" si="2"/>
        <v>100000</v>
      </c>
      <c r="Q26" s="106"/>
      <c r="R26" s="147"/>
      <c r="S26" s="106"/>
      <c r="T26" s="141"/>
      <c r="U26" s="106"/>
      <c r="V26" s="106"/>
      <c r="W26" s="138">
        <v>1</v>
      </c>
      <c r="X26" s="118">
        <f t="shared" si="4"/>
        <v>50000</v>
      </c>
      <c r="Y26" s="118"/>
      <c r="Z26" s="139">
        <f t="shared" si="3"/>
        <v>150000</v>
      </c>
      <c r="AB26" s="170"/>
    </row>
    <row r="27" spans="1:29" s="171" customFormat="1" ht="22.5" customHeight="1">
      <c r="A27" s="127">
        <v>45155</v>
      </c>
      <c r="B27" s="109">
        <v>132015</v>
      </c>
      <c r="C27" s="113">
        <v>132227</v>
      </c>
      <c r="D27" s="113">
        <f t="shared" si="0"/>
        <v>212</v>
      </c>
      <c r="E27" s="106"/>
      <c r="F27" s="108"/>
      <c r="G27" s="108"/>
      <c r="H27" s="108"/>
      <c r="I27" s="108"/>
      <c r="J27" s="116">
        <v>0.29166666666666669</v>
      </c>
      <c r="K27" s="116">
        <v>0.89583333333333337</v>
      </c>
      <c r="L27" s="163"/>
      <c r="M27" s="107"/>
      <c r="N27" s="104">
        <v>1</v>
      </c>
      <c r="O27" s="105">
        <v>100000</v>
      </c>
      <c r="P27" s="118">
        <f t="shared" si="2"/>
        <v>100000</v>
      </c>
      <c r="Q27" s="147"/>
      <c r="R27" s="106"/>
      <c r="S27" s="106"/>
      <c r="T27" s="137"/>
      <c r="U27" s="106"/>
      <c r="V27" s="106"/>
      <c r="W27" s="138">
        <v>1</v>
      </c>
      <c r="X27" s="118">
        <f t="shared" si="4"/>
        <v>50000</v>
      </c>
      <c r="Y27" s="118"/>
      <c r="Z27" s="139">
        <f t="shared" si="3"/>
        <v>150000</v>
      </c>
      <c r="AB27" s="172"/>
    </row>
    <row r="28" spans="1:29" s="37" customFormat="1" ht="22.5" customHeight="1">
      <c r="A28" s="127">
        <v>45156</v>
      </c>
      <c r="B28" s="109">
        <v>132234</v>
      </c>
      <c r="C28" s="113">
        <v>132503</v>
      </c>
      <c r="D28" s="113">
        <f t="shared" si="0"/>
        <v>269</v>
      </c>
      <c r="E28" s="106"/>
      <c r="F28" s="106"/>
      <c r="G28" s="106"/>
      <c r="H28" s="106"/>
      <c r="I28" s="106"/>
      <c r="J28" s="116">
        <v>0.29166666666666669</v>
      </c>
      <c r="K28" s="169">
        <v>0</v>
      </c>
      <c r="L28" s="140">
        <v>2</v>
      </c>
      <c r="M28" s="77"/>
      <c r="N28" s="104">
        <v>1</v>
      </c>
      <c r="O28" s="105">
        <f>100000+100000</f>
        <v>200000</v>
      </c>
      <c r="P28" s="118">
        <f t="shared" si="2"/>
        <v>200000</v>
      </c>
      <c r="Q28" s="106"/>
      <c r="R28" s="106"/>
      <c r="S28" s="106"/>
      <c r="T28" s="137"/>
      <c r="U28" s="106"/>
      <c r="V28" s="106"/>
      <c r="W28" s="138">
        <v>1</v>
      </c>
      <c r="X28" s="118">
        <f t="shared" si="4"/>
        <v>50000</v>
      </c>
      <c r="Y28" s="118"/>
      <c r="Z28" s="139">
        <f t="shared" si="3"/>
        <v>250000</v>
      </c>
      <c r="AB28" s="170"/>
    </row>
    <row r="29" spans="1:29" s="37" customFormat="1" ht="22.5" customHeight="1">
      <c r="A29" s="127">
        <v>45157</v>
      </c>
      <c r="B29" s="109">
        <v>132508</v>
      </c>
      <c r="C29" s="113">
        <v>132871</v>
      </c>
      <c r="D29" s="113">
        <f t="shared" si="0"/>
        <v>363</v>
      </c>
      <c r="E29" s="106"/>
      <c r="F29" s="106"/>
      <c r="G29" s="106"/>
      <c r="H29" s="106"/>
      <c r="I29" s="106"/>
      <c r="J29" s="116">
        <v>0.29166666666666669</v>
      </c>
      <c r="K29" s="169">
        <v>0.125</v>
      </c>
      <c r="L29" s="140">
        <v>2</v>
      </c>
      <c r="M29" s="77"/>
      <c r="N29" s="104">
        <v>1</v>
      </c>
      <c r="O29" s="105">
        <f>100000+100000</f>
        <v>200000</v>
      </c>
      <c r="P29" s="118">
        <f t="shared" si="2"/>
        <v>200000</v>
      </c>
      <c r="Q29" s="178">
        <v>300000</v>
      </c>
      <c r="R29" s="106"/>
      <c r="S29" s="106"/>
      <c r="T29" s="141"/>
      <c r="U29" s="106"/>
      <c r="V29" s="106"/>
      <c r="W29" s="138"/>
      <c r="X29" s="118">
        <f t="shared" si="4"/>
        <v>0</v>
      </c>
      <c r="Y29" s="118"/>
      <c r="Z29" s="139">
        <f>SUM(I29+P29+Q29+V29+X29+Y29+T29)</f>
        <v>500000</v>
      </c>
      <c r="AB29" s="170"/>
    </row>
    <row r="30" spans="1:29" s="179" customFormat="1" ht="22.5" customHeight="1">
      <c r="A30" s="129">
        <v>45158</v>
      </c>
      <c r="B30" s="130"/>
      <c r="C30" s="131"/>
      <c r="D30" s="131">
        <f t="shared" si="0"/>
        <v>0</v>
      </c>
      <c r="E30" s="150"/>
      <c r="F30" s="150"/>
      <c r="G30" s="150"/>
      <c r="H30" s="150"/>
      <c r="I30" s="150"/>
      <c r="J30" s="72"/>
      <c r="K30" s="72"/>
      <c r="L30" s="162"/>
      <c r="M30" s="74"/>
      <c r="N30" s="133"/>
      <c r="O30" s="134">
        <v>100000</v>
      </c>
      <c r="P30" s="151">
        <f t="shared" si="2"/>
        <v>0</v>
      </c>
      <c r="Q30" s="150"/>
      <c r="R30" s="150"/>
      <c r="S30" s="150"/>
      <c r="T30" s="156"/>
      <c r="U30" s="150"/>
      <c r="V30" s="150"/>
      <c r="W30" s="154"/>
      <c r="X30" s="151">
        <f t="shared" si="4"/>
        <v>0</v>
      </c>
      <c r="Y30" s="151"/>
      <c r="Z30" s="155">
        <f t="shared" si="3"/>
        <v>0</v>
      </c>
      <c r="AB30" s="180"/>
    </row>
    <row r="31" spans="1:29" s="174" customFormat="1" ht="22.5" customHeight="1">
      <c r="A31" s="127">
        <v>45159</v>
      </c>
      <c r="B31" s="109">
        <v>132886</v>
      </c>
      <c r="C31" s="113">
        <v>133141</v>
      </c>
      <c r="D31" s="113">
        <f t="shared" si="0"/>
        <v>255</v>
      </c>
      <c r="E31" s="106"/>
      <c r="F31" s="106"/>
      <c r="G31" s="106"/>
      <c r="H31" s="106"/>
      <c r="I31" s="106"/>
      <c r="J31" s="116">
        <v>0.29166666666666669</v>
      </c>
      <c r="K31" s="116">
        <v>0.85416666666666663</v>
      </c>
      <c r="L31" s="140"/>
      <c r="M31" s="77"/>
      <c r="N31" s="104">
        <v>1</v>
      </c>
      <c r="O31" s="105">
        <v>100000</v>
      </c>
      <c r="P31" s="118">
        <f t="shared" si="2"/>
        <v>100000</v>
      </c>
      <c r="Q31" s="106"/>
      <c r="R31" s="106"/>
      <c r="S31" s="106"/>
      <c r="T31" s="137"/>
      <c r="U31" s="106"/>
      <c r="V31" s="106"/>
      <c r="W31" s="138"/>
      <c r="X31" s="118">
        <f t="shared" si="4"/>
        <v>0</v>
      </c>
      <c r="Y31" s="118"/>
      <c r="Z31" s="139">
        <f t="shared" si="3"/>
        <v>100000</v>
      </c>
      <c r="AB31" s="175"/>
    </row>
    <row r="32" spans="1:29" s="171" customFormat="1" ht="22.5" customHeight="1">
      <c r="A32" s="127">
        <v>45160</v>
      </c>
      <c r="B32" s="109">
        <v>133146</v>
      </c>
      <c r="C32" s="113">
        <v>133276</v>
      </c>
      <c r="D32" s="113">
        <f t="shared" si="0"/>
        <v>130</v>
      </c>
      <c r="E32" s="106"/>
      <c r="F32" s="106"/>
      <c r="G32" s="106"/>
      <c r="H32" s="106"/>
      <c r="I32" s="106"/>
      <c r="J32" s="116">
        <v>0.29166666666666669</v>
      </c>
      <c r="K32" s="116">
        <v>0.85416666666666663</v>
      </c>
      <c r="L32" s="140"/>
      <c r="M32" s="77"/>
      <c r="N32" s="104">
        <v>1</v>
      </c>
      <c r="O32" s="105">
        <v>100000</v>
      </c>
      <c r="P32" s="118">
        <f t="shared" si="2"/>
        <v>100000</v>
      </c>
      <c r="Q32" s="106"/>
      <c r="R32" s="106"/>
      <c r="S32" s="106"/>
      <c r="T32" s="137"/>
      <c r="U32" s="106"/>
      <c r="V32" s="106"/>
      <c r="W32" s="138"/>
      <c r="X32" s="118">
        <f t="shared" si="4"/>
        <v>0</v>
      </c>
      <c r="Y32" s="118"/>
      <c r="Z32" s="139">
        <f t="shared" si="3"/>
        <v>100000</v>
      </c>
      <c r="AB32" s="172"/>
    </row>
    <row r="33" spans="1:27" s="37" customFormat="1" ht="22.5" customHeight="1">
      <c r="A33" s="127">
        <v>45161</v>
      </c>
      <c r="B33" s="109">
        <v>133280</v>
      </c>
      <c r="C33" s="113">
        <v>133497</v>
      </c>
      <c r="D33" s="113">
        <f t="shared" si="0"/>
        <v>217</v>
      </c>
      <c r="E33" s="106"/>
      <c r="F33" s="106"/>
      <c r="G33" s="106"/>
      <c r="H33" s="106"/>
      <c r="I33" s="106"/>
      <c r="J33" s="116">
        <v>0.29166666666666669</v>
      </c>
      <c r="K33" s="116">
        <v>0.85416666666666663</v>
      </c>
      <c r="L33" s="140"/>
      <c r="M33" s="77"/>
      <c r="N33" s="104">
        <v>1</v>
      </c>
      <c r="O33" s="105">
        <v>100000</v>
      </c>
      <c r="P33" s="118">
        <f t="shared" si="2"/>
        <v>100000</v>
      </c>
      <c r="Q33" s="147"/>
      <c r="R33" s="147"/>
      <c r="S33" s="106"/>
      <c r="T33" s="141"/>
      <c r="U33" s="106"/>
      <c r="V33" s="106"/>
      <c r="W33" s="138"/>
      <c r="X33" s="118">
        <f t="shared" si="4"/>
        <v>0</v>
      </c>
      <c r="Y33" s="118"/>
      <c r="Z33" s="139">
        <f t="shared" si="3"/>
        <v>100000</v>
      </c>
    </row>
    <row r="34" spans="1:27" s="171" customFormat="1" ht="22.5" customHeight="1">
      <c r="A34" s="127">
        <v>45162</v>
      </c>
      <c r="B34" s="109">
        <v>133502</v>
      </c>
      <c r="C34" s="113">
        <v>133900</v>
      </c>
      <c r="D34" s="113">
        <f t="shared" si="0"/>
        <v>398</v>
      </c>
      <c r="E34" s="106"/>
      <c r="F34" s="108"/>
      <c r="G34" s="108"/>
      <c r="H34" s="108"/>
      <c r="I34" s="108"/>
      <c r="J34" s="169">
        <v>0.25</v>
      </c>
      <c r="K34" s="169">
        <v>0.95833333333333337</v>
      </c>
      <c r="L34" s="163">
        <f>1+1</f>
        <v>2</v>
      </c>
      <c r="M34" s="107"/>
      <c r="N34" s="104">
        <v>1</v>
      </c>
      <c r="O34" s="105">
        <f>100000+100000</f>
        <v>200000</v>
      </c>
      <c r="P34" s="118">
        <f t="shared" si="2"/>
        <v>200000</v>
      </c>
      <c r="Q34" s="106"/>
      <c r="R34" s="106"/>
      <c r="S34" s="106"/>
      <c r="T34" s="137"/>
      <c r="U34" s="106"/>
      <c r="V34" s="106"/>
      <c r="W34" s="138">
        <v>2</v>
      </c>
      <c r="X34" s="118">
        <f t="shared" si="4"/>
        <v>100000</v>
      </c>
      <c r="Y34" s="118">
        <f>70000+9000</f>
        <v>79000</v>
      </c>
      <c r="Z34" s="139">
        <f t="shared" si="3"/>
        <v>379000</v>
      </c>
    </row>
    <row r="35" spans="1:27" s="37" customFormat="1" ht="22.5" customHeight="1">
      <c r="A35" s="127">
        <v>45163</v>
      </c>
      <c r="B35" s="109">
        <v>133904</v>
      </c>
      <c r="C35" s="113">
        <v>134252</v>
      </c>
      <c r="D35" s="113">
        <f t="shared" si="0"/>
        <v>348</v>
      </c>
      <c r="E35" s="106"/>
      <c r="F35" s="106"/>
      <c r="G35" s="106"/>
      <c r="H35" s="106"/>
      <c r="I35" s="106"/>
      <c r="J35" s="116">
        <v>0.29166666666666669</v>
      </c>
      <c r="K35" s="169">
        <v>0.95833333333333337</v>
      </c>
      <c r="L35" s="140">
        <v>1</v>
      </c>
      <c r="M35" s="77"/>
      <c r="N35" s="104">
        <v>1</v>
      </c>
      <c r="O35" s="105">
        <f>50000+100000</f>
        <v>150000</v>
      </c>
      <c r="P35" s="118">
        <f t="shared" si="2"/>
        <v>150000</v>
      </c>
      <c r="Q35" s="106"/>
      <c r="R35" s="106"/>
      <c r="S35" s="106"/>
      <c r="T35" s="137"/>
      <c r="U35" s="106"/>
      <c r="V35" s="106"/>
      <c r="W35" s="138">
        <v>1</v>
      </c>
      <c r="X35" s="118">
        <f t="shared" si="4"/>
        <v>50000</v>
      </c>
      <c r="Y35" s="118">
        <f>70000+50000+13000</f>
        <v>133000</v>
      </c>
      <c r="Z35" s="139">
        <f t="shared" si="3"/>
        <v>333000</v>
      </c>
    </row>
    <row r="36" spans="1:27" s="37" customFormat="1" ht="22.5" customHeight="1">
      <c r="A36" s="127">
        <v>45164</v>
      </c>
      <c r="B36" s="109">
        <v>134259</v>
      </c>
      <c r="C36" s="113">
        <v>134493</v>
      </c>
      <c r="D36" s="113">
        <f t="shared" si="0"/>
        <v>234</v>
      </c>
      <c r="E36" s="106"/>
      <c r="F36" s="106"/>
      <c r="G36" s="106"/>
      <c r="H36" s="106"/>
      <c r="I36" s="106"/>
      <c r="J36" s="169">
        <v>0.25</v>
      </c>
      <c r="K36" s="116">
        <v>0.8125</v>
      </c>
      <c r="L36" s="140">
        <v>1</v>
      </c>
      <c r="M36" s="77"/>
      <c r="N36" s="104">
        <v>1</v>
      </c>
      <c r="O36" s="105">
        <f>50000+100000</f>
        <v>150000</v>
      </c>
      <c r="P36" s="118">
        <f t="shared" si="2"/>
        <v>150000</v>
      </c>
      <c r="Q36" s="106"/>
      <c r="R36" s="106"/>
      <c r="S36" s="106"/>
      <c r="T36" s="137"/>
      <c r="U36" s="106"/>
      <c r="V36" s="106"/>
      <c r="W36" s="138"/>
      <c r="X36" s="118">
        <f t="shared" si="4"/>
        <v>0</v>
      </c>
      <c r="Y36" s="118">
        <v>9000</v>
      </c>
      <c r="Z36" s="139">
        <f t="shared" si="3"/>
        <v>159000</v>
      </c>
    </row>
    <row r="37" spans="1:27" s="148" customFormat="1" ht="22.5" customHeight="1">
      <c r="A37" s="129">
        <v>45165</v>
      </c>
      <c r="B37" s="130"/>
      <c r="C37" s="131"/>
      <c r="D37" s="131">
        <f t="shared" si="0"/>
        <v>0</v>
      </c>
      <c r="E37" s="150"/>
      <c r="F37" s="150"/>
      <c r="G37" s="150"/>
      <c r="H37" s="150"/>
      <c r="I37" s="150"/>
      <c r="J37" s="72"/>
      <c r="K37" s="72"/>
      <c r="L37" s="162"/>
      <c r="M37" s="74"/>
      <c r="N37" s="133"/>
      <c r="O37" s="134">
        <v>100000</v>
      </c>
      <c r="P37" s="151">
        <f t="shared" si="2"/>
        <v>0</v>
      </c>
      <c r="Q37" s="152"/>
      <c r="R37" s="150"/>
      <c r="S37" s="150"/>
      <c r="T37" s="156"/>
      <c r="U37" s="150"/>
      <c r="V37" s="150"/>
      <c r="W37" s="154"/>
      <c r="X37" s="151">
        <f>W37*50000</f>
        <v>0</v>
      </c>
      <c r="Y37" s="151"/>
      <c r="Z37" s="155">
        <f t="shared" si="3"/>
        <v>0</v>
      </c>
    </row>
    <row r="38" spans="1:27" s="37" customFormat="1" ht="22.5" customHeight="1">
      <c r="A38" s="127">
        <v>45166</v>
      </c>
      <c r="B38" s="109">
        <v>134502</v>
      </c>
      <c r="C38" s="113">
        <v>134923</v>
      </c>
      <c r="D38" s="113">
        <f t="shared" si="0"/>
        <v>421</v>
      </c>
      <c r="E38" s="106"/>
      <c r="F38" s="106"/>
      <c r="G38" s="106"/>
      <c r="H38" s="106"/>
      <c r="I38" s="106"/>
      <c r="J38" s="116">
        <v>0.29166666666666669</v>
      </c>
      <c r="K38" s="116">
        <v>0.83333333333333337</v>
      </c>
      <c r="L38" s="140"/>
      <c r="M38" s="77"/>
      <c r="N38" s="104">
        <v>1</v>
      </c>
      <c r="O38" s="105">
        <v>100000</v>
      </c>
      <c r="P38" s="118">
        <f t="shared" si="2"/>
        <v>100000</v>
      </c>
      <c r="Q38" s="147"/>
      <c r="R38" s="147"/>
      <c r="S38" s="106"/>
      <c r="T38" s="141"/>
      <c r="U38" s="106"/>
      <c r="V38" s="106"/>
      <c r="W38" s="138">
        <v>1</v>
      </c>
      <c r="X38" s="118">
        <f t="shared" ref="X38" si="5">W38*50000</f>
        <v>50000</v>
      </c>
      <c r="Y38" s="118">
        <v>490000</v>
      </c>
      <c r="Z38" s="139">
        <f t="shared" si="3"/>
        <v>640000</v>
      </c>
    </row>
    <row r="39" spans="1:27" s="171" customFormat="1" ht="22.5" customHeight="1">
      <c r="A39" s="127">
        <v>45167</v>
      </c>
      <c r="B39" s="109">
        <v>134928</v>
      </c>
      <c r="C39" s="37">
        <v>135198</v>
      </c>
      <c r="D39" s="113">
        <f t="shared" si="0"/>
        <v>270</v>
      </c>
      <c r="E39" s="106"/>
      <c r="F39" s="106"/>
      <c r="G39" s="106"/>
      <c r="H39" s="106"/>
      <c r="I39" s="106"/>
      <c r="J39" s="116">
        <v>0.29166666666666669</v>
      </c>
      <c r="K39" s="116">
        <v>0.85416666666666663</v>
      </c>
      <c r="L39" s="140"/>
      <c r="M39" s="77"/>
      <c r="N39" s="104">
        <v>1</v>
      </c>
      <c r="O39" s="105">
        <v>100000</v>
      </c>
      <c r="P39" s="118">
        <f t="shared" si="2"/>
        <v>100000</v>
      </c>
      <c r="Q39" s="147"/>
      <c r="R39" s="106"/>
      <c r="S39" s="106"/>
      <c r="T39" s="141"/>
      <c r="U39" s="106"/>
      <c r="V39" s="106"/>
      <c r="W39" s="138"/>
      <c r="X39" s="118">
        <f t="shared" si="4"/>
        <v>0</v>
      </c>
      <c r="Y39" s="118"/>
      <c r="Z39" s="139">
        <f t="shared" si="3"/>
        <v>100000</v>
      </c>
    </row>
    <row r="40" spans="1:27" s="37" customFormat="1" ht="22.5" customHeight="1">
      <c r="A40" s="127">
        <v>45168</v>
      </c>
      <c r="B40" s="109">
        <v>135202</v>
      </c>
      <c r="C40" s="113">
        <v>135367</v>
      </c>
      <c r="D40" s="113">
        <f t="shared" si="0"/>
        <v>165</v>
      </c>
      <c r="E40" s="106"/>
      <c r="F40" s="106"/>
      <c r="G40" s="106"/>
      <c r="H40" s="106"/>
      <c r="I40" s="106"/>
      <c r="J40" s="116">
        <v>0.29166666666666669</v>
      </c>
      <c r="K40" s="116">
        <v>0.85416666666666663</v>
      </c>
      <c r="L40" s="176"/>
      <c r="M40" s="77"/>
      <c r="N40" s="104">
        <v>1</v>
      </c>
      <c r="O40" s="105">
        <v>100000</v>
      </c>
      <c r="P40" s="118">
        <f t="shared" si="2"/>
        <v>100000</v>
      </c>
      <c r="Q40" s="106"/>
      <c r="R40" s="177"/>
      <c r="S40" s="106"/>
      <c r="T40" s="141"/>
      <c r="U40" s="106"/>
      <c r="V40" s="106"/>
      <c r="W40" s="138"/>
      <c r="X40" s="118">
        <f t="shared" si="4"/>
        <v>0</v>
      </c>
      <c r="Y40" s="118"/>
      <c r="Z40" s="139">
        <f t="shared" si="3"/>
        <v>100000</v>
      </c>
    </row>
    <row r="41" spans="1:27" s="145" customFormat="1" ht="22.5" customHeight="1">
      <c r="A41" s="127">
        <v>45169</v>
      </c>
      <c r="B41" s="109"/>
      <c r="C41" s="113"/>
      <c r="D41" s="113">
        <f>860+112</f>
        <v>972</v>
      </c>
      <c r="E41" s="108"/>
      <c r="F41" s="108"/>
      <c r="G41" s="108"/>
      <c r="H41" s="108"/>
      <c r="I41" s="108"/>
      <c r="J41" s="116">
        <v>0.29166666666666669</v>
      </c>
      <c r="K41" s="116">
        <v>0.85416666666666663</v>
      </c>
      <c r="L41" s="163"/>
      <c r="M41" s="107"/>
      <c r="N41" s="104">
        <v>1</v>
      </c>
      <c r="O41" s="105">
        <v>100000</v>
      </c>
      <c r="P41" s="118">
        <f t="shared" si="2"/>
        <v>100000</v>
      </c>
      <c r="Q41" s="106"/>
      <c r="R41" s="106"/>
      <c r="S41" s="106"/>
      <c r="T41" s="137"/>
      <c r="U41" s="106"/>
      <c r="V41" s="106"/>
      <c r="W41" s="138"/>
      <c r="X41" s="118">
        <f t="shared" si="4"/>
        <v>0</v>
      </c>
      <c r="Y41" s="118"/>
      <c r="Z41" s="139">
        <f t="shared" si="3"/>
        <v>100000</v>
      </c>
      <c r="AA41" s="146"/>
    </row>
    <row r="42" spans="1:27" s="53" customFormat="1" ht="22.5" customHeight="1">
      <c r="A42" s="45"/>
      <c r="B42" s="142"/>
      <c r="C42" s="142"/>
      <c r="D42" s="120">
        <f>SUM(D11:D41)</f>
        <v>7291</v>
      </c>
      <c r="E42" s="120">
        <f>SUM(E11:E41)</f>
        <v>0</v>
      </c>
      <c r="F42" s="125">
        <f>SUM(F10:F41)</f>
        <v>25000000</v>
      </c>
      <c r="G42" s="125">
        <f>SUM(G10:G41)</f>
        <v>4291</v>
      </c>
      <c r="H42" s="125">
        <f>SUM(H10:H41)</f>
        <v>6500</v>
      </c>
      <c r="I42" s="125">
        <f>SUM(I10:I41)</f>
        <v>27891500</v>
      </c>
      <c r="J42" s="119"/>
      <c r="K42" s="119"/>
      <c r="L42" s="164">
        <f>SUM(L11:L41)</f>
        <v>14</v>
      </c>
      <c r="M42" s="120">
        <f t="shared" ref="M42" si="6">SUM(M11:M41)</f>
        <v>0</v>
      </c>
      <c r="N42" s="120">
        <f>SUM(N11:N41)</f>
        <v>26</v>
      </c>
      <c r="O42" s="121"/>
      <c r="P42" s="125">
        <f>SUM(P10:P41)</f>
        <v>3300000</v>
      </c>
      <c r="Q42" s="125">
        <f t="shared" ref="Q42:V42" si="7">SUM(Q10:Q41)</f>
        <v>300000</v>
      </c>
      <c r="R42" s="143">
        <f>SUM(R10:R41)</f>
        <v>2.5</v>
      </c>
      <c r="S42" s="125">
        <f t="shared" si="7"/>
        <v>125000</v>
      </c>
      <c r="T42" s="125">
        <f t="shared" si="7"/>
        <v>312500</v>
      </c>
      <c r="U42" s="125">
        <f t="shared" si="7"/>
        <v>0</v>
      </c>
      <c r="V42" s="125">
        <f t="shared" si="7"/>
        <v>0</v>
      </c>
      <c r="W42" s="125">
        <f>SUM(W10:W41)</f>
        <v>9</v>
      </c>
      <c r="X42" s="125">
        <f>SUM(X10:X41)</f>
        <v>450000</v>
      </c>
      <c r="Y42" s="125">
        <f>SUM(Y10:Y41)</f>
        <v>971000</v>
      </c>
      <c r="Z42" s="144">
        <f>SUM(Z10:Z41)</f>
        <v>58225000</v>
      </c>
      <c r="AA42" s="112"/>
    </row>
    <row r="43" spans="1:27" s="37" customFormat="1" ht="9.75" customHeight="1">
      <c r="A43" s="54"/>
      <c r="B43" s="54"/>
      <c r="C43" s="54"/>
      <c r="D43" s="55"/>
      <c r="E43" s="56"/>
      <c r="F43" s="56"/>
      <c r="G43" s="56"/>
      <c r="H43" s="56"/>
      <c r="I43" s="56"/>
      <c r="J43" s="168"/>
      <c r="K43" s="168"/>
      <c r="L43" s="60"/>
      <c r="M43" s="56"/>
      <c r="N43" s="57"/>
      <c r="O43" s="58"/>
      <c r="P43" s="59"/>
      <c r="Q43" s="56"/>
      <c r="R43" s="56"/>
      <c r="S43" s="56"/>
      <c r="T43" s="60"/>
      <c r="U43" s="56"/>
      <c r="V43" s="56"/>
      <c r="W43" s="61"/>
      <c r="X43" s="59"/>
      <c r="Y43" s="59"/>
      <c r="Z43" s="59"/>
    </row>
    <row r="44" spans="1:27" ht="13.5" customHeight="1">
      <c r="A44" s="303" t="str">
        <f>A1</f>
        <v>CÔNG TY TNHH 98 AN PHÁT</v>
      </c>
      <c r="B44" s="304"/>
      <c r="C44" s="304"/>
      <c r="D44" s="304"/>
      <c r="E44" s="304"/>
      <c r="F44" s="304"/>
      <c r="G44" s="304"/>
      <c r="H44" s="304"/>
      <c r="I44" s="304"/>
      <c r="J44" s="304"/>
      <c r="K44" s="304"/>
      <c r="L44" s="304"/>
      <c r="M44" s="304"/>
      <c r="N44" s="304"/>
      <c r="O44" s="304" t="s">
        <v>32</v>
      </c>
      <c r="P44" s="304"/>
      <c r="Q44" s="304"/>
      <c r="R44" s="304"/>
      <c r="S44" s="304"/>
      <c r="T44" s="304"/>
      <c r="U44" s="304"/>
      <c r="V44" s="304"/>
      <c r="W44" s="304"/>
      <c r="X44" s="304"/>
      <c r="Y44" s="304"/>
      <c r="Z44" s="304"/>
      <c r="AA44" s="62"/>
    </row>
    <row r="45" spans="1:27">
      <c r="U45" s="305"/>
      <c r="V45" s="306"/>
      <c r="W45" s="306"/>
      <c r="X45" s="306"/>
      <c r="Y45" s="306"/>
      <c r="Z45" s="306"/>
      <c r="AA45" s="62"/>
    </row>
    <row r="47" spans="1:27">
      <c r="C47" s="136"/>
      <c r="H47" s="135"/>
    </row>
    <row r="48" spans="1:27">
      <c r="D48" s="63"/>
      <c r="F48" s="63"/>
      <c r="P48" s="62"/>
    </row>
    <row r="50" spans="4:4">
      <c r="D50" s="63"/>
    </row>
  </sheetData>
  <sheetProtection selectLockedCells="1" selectUnlockedCells="1"/>
  <autoFilter ref="A9:CN42" xr:uid="{00000000-0009-0000-0000-000009000000}"/>
  <mergeCells count="27">
    <mergeCell ref="A5:Z5"/>
    <mergeCell ref="A1:J1"/>
    <mergeCell ref="P1:Z1"/>
    <mergeCell ref="P2:Z2"/>
    <mergeCell ref="A3:Z3"/>
    <mergeCell ref="A4:Z4"/>
    <mergeCell ref="A6:Z6"/>
    <mergeCell ref="V7:Z7"/>
    <mergeCell ref="A8:A9"/>
    <mergeCell ref="B8:B9"/>
    <mergeCell ref="C8:C9"/>
    <mergeCell ref="D8:D9"/>
    <mergeCell ref="E8:F8"/>
    <mergeCell ref="G8:I8"/>
    <mergeCell ref="J8:J9"/>
    <mergeCell ref="K8:K9"/>
    <mergeCell ref="Y8:Y9"/>
    <mergeCell ref="Z8:Z9"/>
    <mergeCell ref="A44:N44"/>
    <mergeCell ref="O44:Z44"/>
    <mergeCell ref="U45:Z45"/>
    <mergeCell ref="L8:L9"/>
    <mergeCell ref="N8:P8"/>
    <mergeCell ref="Q8:Q9"/>
    <mergeCell ref="R8:T8"/>
    <mergeCell ref="U8:V8"/>
    <mergeCell ref="W8:X8"/>
  </mergeCells>
  <phoneticPr fontId="30" type="noConversion"/>
  <pageMargins left="0" right="0.25" top="0.23622047244094499" bottom="0" header="0" footer="0"/>
  <pageSetup paperSize="9" scale="51" orientation="landscape" r:id="rId1"/>
  <colBreaks count="1" manualBreakCount="1">
    <brk id="26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E61"/>
  <sheetViews>
    <sheetView view="pageBreakPreview" topLeftCell="A29" zoomScale="82" zoomScaleNormal="85" zoomScaleSheetLayoutView="82" workbookViewId="0">
      <pane xSplit="1" topLeftCell="P1" activePane="topRight" state="frozen"/>
      <selection pane="topRight" activeCell="AA40" sqref="AA40"/>
    </sheetView>
  </sheetViews>
  <sheetFormatPr defaultColWidth="9.28515625" defaultRowHeight="15"/>
  <cols>
    <col min="1" max="1" width="14.7109375" style="194" customWidth="1"/>
    <col min="2" max="2" width="13.42578125" style="194" customWidth="1"/>
    <col min="3" max="3" width="15" style="194" customWidth="1"/>
    <col min="4" max="5" width="9.7109375" style="193" customWidth="1"/>
    <col min="6" max="6" width="21.28515625" style="193" customWidth="1"/>
    <col min="7" max="7" width="14.140625" style="193" customWidth="1"/>
    <col min="8" max="8" width="13.7109375" style="193" customWidth="1"/>
    <col min="9" max="9" width="18.85546875" style="193" customWidth="1"/>
    <col min="10" max="10" width="16.28515625" style="193" customWidth="1"/>
    <col min="11" max="12" width="8.28515625" style="192" customWidth="1"/>
    <col min="13" max="13" width="13.85546875" style="189" customWidth="1"/>
    <col min="14" max="14" width="15.7109375" style="190" customWidth="1"/>
    <col min="15" max="15" width="5.7109375" style="193" customWidth="1"/>
    <col min="16" max="16" width="12.28515625" style="86" customWidth="1"/>
    <col min="17" max="17" width="17" style="193" customWidth="1"/>
    <col min="18" max="18" width="17.28515625" style="193" customWidth="1"/>
    <col min="19" max="19" width="9.28515625" style="185" customWidth="1"/>
    <col min="20" max="20" width="8.85546875" style="193" customWidth="1"/>
    <col min="21" max="21" width="17.140625" style="193" customWidth="1"/>
    <col min="22" max="22" width="8.85546875" style="193" customWidth="1"/>
    <col min="23" max="23" width="10.140625" style="185" customWidth="1"/>
    <col min="24" max="24" width="16" style="193" customWidth="1"/>
    <col min="25" max="25" width="12.28515625" style="211" customWidth="1"/>
    <col min="26" max="26" width="17.42578125" style="193" customWidth="1"/>
    <col min="27" max="27" width="18.28515625" style="193" customWidth="1"/>
    <col min="28" max="28" width="26.85546875" style="193" customWidth="1"/>
    <col min="29" max="29" width="33.28515625" style="193" customWidth="1"/>
    <col min="30" max="30" width="9.28515625" style="193"/>
    <col min="31" max="31" width="42" style="193" customWidth="1"/>
    <col min="32" max="16384" width="9.28515625" style="193"/>
  </cols>
  <sheetData>
    <row r="1" spans="1:30" s="191" customFormat="1" ht="20.25">
      <c r="A1" s="358" t="s">
        <v>100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234"/>
      <c r="M1" s="235"/>
      <c r="N1" s="236"/>
      <c r="O1" s="236"/>
      <c r="P1" s="237"/>
      <c r="Q1" s="355" t="s">
        <v>0</v>
      </c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</row>
    <row r="2" spans="1:30" s="191" customFormat="1" ht="20.25">
      <c r="A2" s="238" t="s">
        <v>101</v>
      </c>
      <c r="B2" s="239"/>
      <c r="C2" s="238"/>
      <c r="D2" s="239"/>
      <c r="E2" s="238"/>
      <c r="F2" s="238"/>
      <c r="G2" s="238"/>
      <c r="H2" s="238"/>
      <c r="I2" s="238"/>
      <c r="J2" s="238"/>
      <c r="K2" s="240"/>
      <c r="L2" s="234"/>
      <c r="M2" s="235"/>
      <c r="N2" s="236"/>
      <c r="O2" s="236"/>
      <c r="P2" s="237"/>
      <c r="Q2" s="355" t="s">
        <v>1</v>
      </c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</row>
    <row r="3" spans="1:30" s="191" customFormat="1" ht="58.15" customHeight="1">
      <c r="A3" s="329" t="s">
        <v>3</v>
      </c>
      <c r="B3" s="329"/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  <c r="AA3" s="329"/>
      <c r="AB3" s="329"/>
    </row>
    <row r="4" spans="1:30" s="191" customFormat="1" ht="48" customHeight="1">
      <c r="A4" s="329" t="s">
        <v>102</v>
      </c>
      <c r="B4" s="329"/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  <c r="AA4" s="329"/>
      <c r="AB4" s="329"/>
    </row>
    <row r="5" spans="1:30" s="191" customFormat="1" ht="35.450000000000003" customHeight="1">
      <c r="A5" s="355" t="s">
        <v>92</v>
      </c>
      <c r="B5" s="355"/>
      <c r="C5" s="355"/>
      <c r="D5" s="355"/>
      <c r="E5" s="355"/>
      <c r="F5" s="355"/>
      <c r="G5" s="355"/>
      <c r="H5" s="355"/>
      <c r="I5" s="355"/>
      <c r="J5" s="355"/>
      <c r="K5" s="355"/>
      <c r="L5" s="355"/>
      <c r="M5" s="355"/>
      <c r="N5" s="355"/>
      <c r="O5" s="355"/>
      <c r="P5" s="355"/>
      <c r="Q5" s="355"/>
      <c r="R5" s="355"/>
      <c r="S5" s="355"/>
      <c r="T5" s="355"/>
      <c r="U5" s="355"/>
      <c r="V5" s="355"/>
      <c r="W5" s="355"/>
      <c r="X5" s="355"/>
      <c r="Y5" s="355"/>
      <c r="Z5" s="355"/>
      <c r="AA5" s="355"/>
      <c r="AB5" s="355"/>
    </row>
    <row r="6" spans="1:30" s="191" customFormat="1" ht="35.450000000000003" customHeight="1">
      <c r="A6" s="355" t="s">
        <v>103</v>
      </c>
      <c r="B6" s="355"/>
      <c r="C6" s="355"/>
      <c r="D6" s="355"/>
      <c r="E6" s="355"/>
      <c r="F6" s="355"/>
      <c r="G6" s="355"/>
      <c r="H6" s="355"/>
      <c r="I6" s="355"/>
      <c r="J6" s="355"/>
      <c r="K6" s="355"/>
      <c r="L6" s="355"/>
      <c r="M6" s="355"/>
      <c r="N6" s="355"/>
      <c r="O6" s="355"/>
      <c r="P6" s="355"/>
      <c r="Q6" s="355"/>
      <c r="R6" s="355"/>
      <c r="S6" s="355"/>
      <c r="T6" s="355"/>
      <c r="U6" s="355"/>
      <c r="V6" s="355"/>
      <c r="W6" s="355"/>
      <c r="X6" s="355"/>
      <c r="Y6" s="355"/>
      <c r="Z6" s="355"/>
      <c r="AA6" s="355"/>
      <c r="AB6" s="355"/>
    </row>
    <row r="7" spans="1:30" s="191" customFormat="1" ht="44.45" customHeight="1">
      <c r="A7" s="355" t="s">
        <v>31</v>
      </c>
      <c r="B7" s="355"/>
      <c r="C7" s="355"/>
      <c r="D7" s="355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  <c r="T7" s="355"/>
      <c r="U7" s="355"/>
      <c r="V7" s="355"/>
      <c r="W7" s="355"/>
      <c r="X7" s="355"/>
      <c r="Y7" s="355"/>
      <c r="Z7" s="355"/>
      <c r="AA7" s="355"/>
      <c r="AB7" s="355"/>
    </row>
    <row r="8" spans="1:30" ht="12" customHeight="1">
      <c r="A8" s="36"/>
      <c r="B8" s="36"/>
      <c r="C8" s="36"/>
      <c r="D8" s="34"/>
      <c r="E8" s="34"/>
      <c r="F8" s="34"/>
      <c r="G8" s="34"/>
      <c r="H8" s="34"/>
      <c r="I8" s="34"/>
      <c r="J8" s="34"/>
      <c r="K8" s="167"/>
      <c r="L8" s="167"/>
      <c r="M8" s="241"/>
      <c r="N8" s="242"/>
      <c r="O8" s="34"/>
      <c r="P8" s="35"/>
      <c r="Q8" s="34"/>
      <c r="R8" s="34"/>
      <c r="S8" s="135"/>
      <c r="T8" s="34"/>
      <c r="U8" s="34"/>
      <c r="V8" s="34"/>
      <c r="W8" s="135"/>
      <c r="X8" s="317" t="s">
        <v>2</v>
      </c>
      <c r="Y8" s="317"/>
      <c r="Z8" s="317"/>
      <c r="AA8" s="317"/>
      <c r="AB8" s="317"/>
    </row>
    <row r="9" spans="1:30" s="1" customFormat="1" ht="50.25" customHeight="1">
      <c r="A9" s="356" t="s">
        <v>4</v>
      </c>
      <c r="B9" s="356" t="s">
        <v>27</v>
      </c>
      <c r="C9" s="356" t="s">
        <v>28</v>
      </c>
      <c r="D9" s="351" t="s">
        <v>5</v>
      </c>
      <c r="E9" s="348" t="s">
        <v>6</v>
      </c>
      <c r="F9" s="350"/>
      <c r="G9" s="348" t="s">
        <v>7</v>
      </c>
      <c r="H9" s="349"/>
      <c r="I9" s="350"/>
      <c r="J9" s="243"/>
      <c r="K9" s="353" t="s">
        <v>13</v>
      </c>
      <c r="L9" s="353" t="s">
        <v>14</v>
      </c>
      <c r="M9" s="346" t="s">
        <v>88</v>
      </c>
      <c r="N9" s="351" t="s">
        <v>89</v>
      </c>
      <c r="O9" s="348" t="s">
        <v>15</v>
      </c>
      <c r="P9" s="349"/>
      <c r="Q9" s="350"/>
      <c r="R9" s="351" t="s">
        <v>18</v>
      </c>
      <c r="S9" s="348" t="s">
        <v>19</v>
      </c>
      <c r="T9" s="349"/>
      <c r="U9" s="350"/>
      <c r="V9" s="348" t="s">
        <v>22</v>
      </c>
      <c r="W9" s="349"/>
      <c r="X9" s="350"/>
      <c r="Y9" s="348" t="s">
        <v>23</v>
      </c>
      <c r="Z9" s="350"/>
      <c r="AA9" s="351" t="s">
        <v>25</v>
      </c>
      <c r="AB9" s="351" t="s">
        <v>26</v>
      </c>
      <c r="AC9" s="195"/>
    </row>
    <row r="10" spans="1:30" s="1" customFormat="1" ht="64.5" customHeight="1">
      <c r="A10" s="357"/>
      <c r="B10" s="357"/>
      <c r="C10" s="357"/>
      <c r="D10" s="352"/>
      <c r="E10" s="245" t="s">
        <v>8</v>
      </c>
      <c r="F10" s="245" t="s">
        <v>9</v>
      </c>
      <c r="G10" s="245" t="s">
        <v>10</v>
      </c>
      <c r="H10" s="245" t="s">
        <v>11</v>
      </c>
      <c r="I10" s="245" t="s">
        <v>12</v>
      </c>
      <c r="J10" s="244"/>
      <c r="K10" s="354"/>
      <c r="L10" s="354"/>
      <c r="M10" s="347"/>
      <c r="N10" s="352"/>
      <c r="O10" s="245" t="s">
        <v>16</v>
      </c>
      <c r="P10" s="245" t="s">
        <v>11</v>
      </c>
      <c r="Q10" s="245" t="s">
        <v>17</v>
      </c>
      <c r="R10" s="352"/>
      <c r="S10" s="246" t="s">
        <v>16</v>
      </c>
      <c r="T10" s="245" t="s">
        <v>11</v>
      </c>
      <c r="U10" s="245" t="s">
        <v>12</v>
      </c>
      <c r="V10" s="246" t="s">
        <v>16</v>
      </c>
      <c r="W10" s="246" t="s">
        <v>11</v>
      </c>
      <c r="X10" s="245" t="s">
        <v>12</v>
      </c>
      <c r="Y10" s="247" t="s">
        <v>24</v>
      </c>
      <c r="Z10" s="245" t="s">
        <v>12</v>
      </c>
      <c r="AA10" s="352"/>
      <c r="AB10" s="352"/>
    </row>
    <row r="11" spans="1:30" s="1" customFormat="1" ht="31.5" customHeight="1">
      <c r="A11" s="39"/>
      <c r="B11" s="248"/>
      <c r="C11" s="39"/>
      <c r="D11" s="40"/>
      <c r="E11" s="249">
        <v>3000</v>
      </c>
      <c r="F11" s="249">
        <v>42000000</v>
      </c>
      <c r="G11" s="249">
        <v>0</v>
      </c>
      <c r="H11" s="249">
        <v>10000</v>
      </c>
      <c r="I11" s="249">
        <f>G11*H11</f>
        <v>0</v>
      </c>
      <c r="J11" s="250"/>
      <c r="K11" s="251"/>
      <c r="L11" s="251"/>
      <c r="M11" s="249"/>
      <c r="N11" s="249"/>
      <c r="O11" s="252"/>
      <c r="P11" s="253"/>
      <c r="Q11" s="249"/>
      <c r="R11" s="249"/>
      <c r="S11" s="249"/>
      <c r="T11" s="254"/>
      <c r="U11" s="255"/>
      <c r="V11" s="256"/>
      <c r="W11" s="249"/>
      <c r="X11" s="254"/>
      <c r="Y11" s="257"/>
      <c r="Z11" s="249"/>
      <c r="AA11" s="41"/>
      <c r="AB11" s="258">
        <f>F11+I11+Q11+R11+T11+X11+Z11+AA11</f>
        <v>42000000</v>
      </c>
    </row>
    <row r="12" spans="1:30" s="171" customFormat="1" ht="31.15" customHeight="1">
      <c r="A12" s="217">
        <v>46199</v>
      </c>
      <c r="B12" s="218">
        <v>2509</v>
      </c>
      <c r="C12" s="218">
        <v>2580</v>
      </c>
      <c r="D12" s="218">
        <f>+C12-B12</f>
        <v>71</v>
      </c>
      <c r="E12" s="219"/>
      <c r="F12" s="219"/>
      <c r="G12" s="219"/>
      <c r="H12" s="219"/>
      <c r="I12" s="219"/>
      <c r="J12" s="219"/>
      <c r="K12" s="220">
        <v>0.33333333333333331</v>
      </c>
      <c r="L12" s="220">
        <v>0.75</v>
      </c>
      <c r="M12" s="225"/>
      <c r="N12" s="221"/>
      <c r="O12" s="222">
        <v>0</v>
      </c>
      <c r="P12" s="223">
        <v>0</v>
      </c>
      <c r="Q12" s="224">
        <f t="shared" ref="Q12:Q13" si="0">O12*P12</f>
        <v>0</v>
      </c>
      <c r="R12" s="219"/>
      <c r="S12" s="225"/>
      <c r="T12" s="219"/>
      <c r="U12" s="226"/>
      <c r="V12" s="226"/>
      <c r="W12" s="225"/>
      <c r="X12" s="219"/>
      <c r="Y12" s="227"/>
      <c r="Z12" s="219"/>
      <c r="AA12" s="219"/>
      <c r="AB12" s="228">
        <f t="shared" ref="AB12:AB17" si="1">SUM(I12+N12+Q12+R12+X12+Z12+AA12+U12)</f>
        <v>0</v>
      </c>
      <c r="AD12" s="172"/>
    </row>
    <row r="13" spans="1:30" s="171" customFormat="1" ht="31.15" customHeight="1">
      <c r="A13" s="217">
        <v>46200</v>
      </c>
      <c r="B13" s="218">
        <v>2580</v>
      </c>
      <c r="C13" s="218">
        <v>2641</v>
      </c>
      <c r="D13" s="218">
        <f t="shared" ref="D13" si="2">+C13-B13</f>
        <v>61</v>
      </c>
      <c r="E13" s="219"/>
      <c r="F13" s="219"/>
      <c r="G13" s="219"/>
      <c r="H13" s="219"/>
      <c r="I13" s="219"/>
      <c r="J13" s="219"/>
      <c r="K13" s="220">
        <v>0.33333333333333331</v>
      </c>
      <c r="L13" s="220">
        <v>0.75</v>
      </c>
      <c r="M13" s="219"/>
      <c r="N13" s="221"/>
      <c r="O13" s="222">
        <v>0</v>
      </c>
      <c r="P13" s="223">
        <v>0</v>
      </c>
      <c r="Q13" s="224">
        <f t="shared" si="0"/>
        <v>0</v>
      </c>
      <c r="R13" s="219"/>
      <c r="S13" s="219"/>
      <c r="T13" s="219"/>
      <c r="U13" s="226"/>
      <c r="V13" s="226"/>
      <c r="W13" s="219"/>
      <c r="X13" s="219"/>
      <c r="Y13" s="227"/>
      <c r="Z13" s="219"/>
      <c r="AA13" s="219"/>
      <c r="AB13" s="228">
        <f t="shared" si="1"/>
        <v>0</v>
      </c>
      <c r="AD13" s="172"/>
    </row>
    <row r="14" spans="1:30" s="215" customFormat="1" ht="31.15" customHeight="1">
      <c r="A14" s="287">
        <v>46201</v>
      </c>
      <c r="B14" s="288">
        <v>0</v>
      </c>
      <c r="C14" s="288">
        <v>0</v>
      </c>
      <c r="D14" s="288">
        <f>+C14-B14</f>
        <v>0</v>
      </c>
      <c r="E14" s="289"/>
      <c r="F14" s="289"/>
      <c r="G14" s="289"/>
      <c r="H14" s="289"/>
      <c r="I14" s="289"/>
      <c r="J14" s="289"/>
      <c r="K14" s="290">
        <v>0</v>
      </c>
      <c r="L14" s="290">
        <v>0</v>
      </c>
      <c r="M14" s="302"/>
      <c r="N14" s="291"/>
      <c r="O14" s="292">
        <v>0</v>
      </c>
      <c r="P14" s="293">
        <v>0</v>
      </c>
      <c r="Q14" s="294">
        <f t="shared" ref="Q14:Q16" si="3">O14*P14</f>
        <v>0</v>
      </c>
      <c r="R14" s="289"/>
      <c r="S14" s="302"/>
      <c r="T14" s="289"/>
      <c r="U14" s="295"/>
      <c r="V14" s="295"/>
      <c r="W14" s="302"/>
      <c r="X14" s="289"/>
      <c r="Y14" s="296"/>
      <c r="Z14" s="289"/>
      <c r="AA14" s="289"/>
      <c r="AB14" s="297">
        <f t="shared" ref="AB14:AB16" si="4">SUM(I14+N14+Q14+R14+X14+Z14+AA14+U14)</f>
        <v>0</v>
      </c>
      <c r="AD14" s="216"/>
    </row>
    <row r="15" spans="1:30" s="171" customFormat="1" ht="31.15" customHeight="1">
      <c r="A15" s="217">
        <v>46202</v>
      </c>
      <c r="B15" s="218">
        <v>2641</v>
      </c>
      <c r="C15" s="218">
        <v>2704</v>
      </c>
      <c r="D15" s="218">
        <f t="shared" ref="D15" si="5">+C15-B15</f>
        <v>63</v>
      </c>
      <c r="E15" s="219"/>
      <c r="F15" s="219"/>
      <c r="G15" s="219"/>
      <c r="H15" s="219"/>
      <c r="I15" s="219"/>
      <c r="J15" s="219"/>
      <c r="K15" s="220">
        <v>0.33333333333333331</v>
      </c>
      <c r="L15" s="220">
        <v>0.91666666666666663</v>
      </c>
      <c r="M15" s="219"/>
      <c r="N15" s="221"/>
      <c r="O15" s="222">
        <v>4</v>
      </c>
      <c r="P15" s="223">
        <v>50000</v>
      </c>
      <c r="Q15" s="224">
        <f t="shared" si="3"/>
        <v>200000</v>
      </c>
      <c r="R15" s="219"/>
      <c r="S15" s="219"/>
      <c r="T15" s="219"/>
      <c r="U15" s="226"/>
      <c r="V15" s="226"/>
      <c r="W15" s="219"/>
      <c r="X15" s="219"/>
      <c r="Y15" s="227">
        <v>2</v>
      </c>
      <c r="Z15" s="219">
        <v>100000</v>
      </c>
      <c r="AA15" s="219"/>
      <c r="AB15" s="228">
        <f t="shared" si="4"/>
        <v>300000</v>
      </c>
      <c r="AD15" s="172"/>
    </row>
    <row r="16" spans="1:30" s="171" customFormat="1" ht="31.15" customHeight="1">
      <c r="A16" s="217">
        <v>46203</v>
      </c>
      <c r="B16" s="218">
        <v>2704</v>
      </c>
      <c r="C16" s="218">
        <v>2723</v>
      </c>
      <c r="D16" s="218">
        <f t="shared" ref="D16:D21" si="6">+C16-B16</f>
        <v>19</v>
      </c>
      <c r="E16" s="219"/>
      <c r="F16" s="219"/>
      <c r="G16" s="219"/>
      <c r="H16" s="219"/>
      <c r="I16" s="219"/>
      <c r="J16" s="219"/>
      <c r="K16" s="220">
        <v>0.33333333333333331</v>
      </c>
      <c r="L16" s="220">
        <v>0.79166666666666663</v>
      </c>
      <c r="M16" s="225"/>
      <c r="N16" s="221"/>
      <c r="O16" s="222">
        <v>1</v>
      </c>
      <c r="P16" s="223">
        <v>50000</v>
      </c>
      <c r="Q16" s="224">
        <f t="shared" si="3"/>
        <v>50000</v>
      </c>
      <c r="R16" s="219"/>
      <c r="S16" s="225"/>
      <c r="T16" s="219"/>
      <c r="U16" s="226"/>
      <c r="V16" s="226"/>
      <c r="W16" s="225"/>
      <c r="X16" s="219"/>
      <c r="Y16" s="227"/>
      <c r="Z16" s="219"/>
      <c r="AA16" s="219"/>
      <c r="AB16" s="228">
        <f t="shared" si="4"/>
        <v>50000</v>
      </c>
      <c r="AD16" s="172"/>
    </row>
    <row r="17" spans="1:31" s="37" customFormat="1" ht="31.5" customHeight="1">
      <c r="A17" s="217">
        <v>46204</v>
      </c>
      <c r="B17" s="218">
        <v>2723</v>
      </c>
      <c r="C17" s="218">
        <v>2729</v>
      </c>
      <c r="D17" s="218">
        <f t="shared" si="6"/>
        <v>6</v>
      </c>
      <c r="E17" s="219"/>
      <c r="F17" s="219"/>
      <c r="G17" s="219"/>
      <c r="H17" s="219"/>
      <c r="I17" s="219"/>
      <c r="J17" s="219"/>
      <c r="K17" s="220">
        <v>0.33333333333333331</v>
      </c>
      <c r="L17" s="220">
        <v>0.75</v>
      </c>
      <c r="M17" s="219"/>
      <c r="N17" s="221"/>
      <c r="O17" s="222">
        <v>0</v>
      </c>
      <c r="P17" s="223">
        <v>0</v>
      </c>
      <c r="Q17" s="224">
        <f t="shared" ref="Q17" si="7">O17*P17</f>
        <v>0</v>
      </c>
      <c r="R17" s="219"/>
      <c r="S17" s="219"/>
      <c r="T17" s="219"/>
      <c r="U17" s="226"/>
      <c r="V17" s="226"/>
      <c r="W17" s="219"/>
      <c r="X17" s="219"/>
      <c r="Y17" s="227"/>
      <c r="Z17" s="219"/>
      <c r="AA17" s="219"/>
      <c r="AB17" s="228">
        <f t="shared" si="1"/>
        <v>0</v>
      </c>
      <c r="AD17" s="170"/>
    </row>
    <row r="18" spans="1:31" s="148" customFormat="1" ht="31.5" customHeight="1">
      <c r="A18" s="217">
        <v>46205</v>
      </c>
      <c r="B18" s="218">
        <v>2729</v>
      </c>
      <c r="C18" s="218">
        <v>2786</v>
      </c>
      <c r="D18" s="218">
        <f t="shared" si="6"/>
        <v>57</v>
      </c>
      <c r="E18" s="219"/>
      <c r="F18" s="219"/>
      <c r="G18" s="219"/>
      <c r="H18" s="219"/>
      <c r="I18" s="219"/>
      <c r="J18" s="219"/>
      <c r="K18" s="220">
        <v>0.33333333333333331</v>
      </c>
      <c r="L18" s="220">
        <v>0.75</v>
      </c>
      <c r="M18" s="219"/>
      <c r="N18" s="221"/>
      <c r="O18" s="222">
        <v>0</v>
      </c>
      <c r="P18" s="223">
        <v>0</v>
      </c>
      <c r="Q18" s="224">
        <f t="shared" ref="Q18" si="8">O18*P18</f>
        <v>0</v>
      </c>
      <c r="R18" s="219"/>
      <c r="S18" s="219"/>
      <c r="T18" s="219"/>
      <c r="U18" s="226"/>
      <c r="V18" s="226"/>
      <c r="W18" s="219"/>
      <c r="X18" s="219"/>
      <c r="Y18" s="227"/>
      <c r="Z18" s="219"/>
      <c r="AA18" s="219"/>
      <c r="AB18" s="228">
        <f t="shared" ref="AB18:AB27" si="9">SUM(I18+N18+Q18+R18+X18+Z18+AA18+U18)</f>
        <v>0</v>
      </c>
      <c r="AD18" s="149"/>
    </row>
    <row r="19" spans="1:31" s="171" customFormat="1" ht="31.5" customHeight="1">
      <c r="A19" s="217">
        <v>46206</v>
      </c>
      <c r="B19" s="218">
        <v>2786</v>
      </c>
      <c r="C19" s="218">
        <v>2811</v>
      </c>
      <c r="D19" s="218">
        <f t="shared" si="6"/>
        <v>25</v>
      </c>
      <c r="E19" s="219"/>
      <c r="F19" s="229"/>
      <c r="G19" s="229"/>
      <c r="H19" s="229"/>
      <c r="I19" s="229"/>
      <c r="J19" s="229"/>
      <c r="K19" s="220">
        <v>0.33333333333333331</v>
      </c>
      <c r="L19" s="220">
        <v>0.75</v>
      </c>
      <c r="M19" s="230"/>
      <c r="N19" s="221"/>
      <c r="O19" s="222">
        <v>0</v>
      </c>
      <c r="P19" s="223">
        <v>0</v>
      </c>
      <c r="Q19" s="224">
        <f t="shared" ref="Q19" si="10">O19*P19</f>
        <v>0</v>
      </c>
      <c r="R19" s="219"/>
      <c r="S19" s="230"/>
      <c r="T19" s="219"/>
      <c r="U19" s="226"/>
      <c r="V19" s="226"/>
      <c r="W19" s="219"/>
      <c r="X19" s="219"/>
      <c r="Y19" s="227"/>
      <c r="Z19" s="219"/>
      <c r="AA19" s="219"/>
      <c r="AB19" s="228">
        <f t="shared" si="9"/>
        <v>0</v>
      </c>
      <c r="AD19" s="172"/>
    </row>
    <row r="20" spans="1:31" s="37" customFormat="1" ht="31.15" customHeight="1">
      <c r="A20" s="217">
        <v>46207</v>
      </c>
      <c r="B20" s="218">
        <v>2811</v>
      </c>
      <c r="C20" s="218">
        <v>2831</v>
      </c>
      <c r="D20" s="218">
        <f t="shared" si="6"/>
        <v>20</v>
      </c>
      <c r="E20" s="219"/>
      <c r="F20" s="219"/>
      <c r="G20" s="219"/>
      <c r="H20" s="219"/>
      <c r="I20" s="219"/>
      <c r="J20" s="219"/>
      <c r="K20" s="220">
        <v>0.33333333333333331</v>
      </c>
      <c r="L20" s="220">
        <v>0.75</v>
      </c>
      <c r="M20" s="259"/>
      <c r="N20" s="221"/>
      <c r="O20" s="222">
        <v>0</v>
      </c>
      <c r="P20" s="223">
        <v>0</v>
      </c>
      <c r="Q20" s="224">
        <f t="shared" ref="Q20:Q21" si="11">O20*P20</f>
        <v>0</v>
      </c>
      <c r="R20" s="225"/>
      <c r="S20" s="259"/>
      <c r="T20" s="219"/>
      <c r="U20" s="226"/>
      <c r="V20" s="226"/>
      <c r="W20" s="219"/>
      <c r="X20" s="219"/>
      <c r="Y20" s="227"/>
      <c r="Z20" s="219"/>
      <c r="AA20" s="219"/>
      <c r="AB20" s="228">
        <f t="shared" si="9"/>
        <v>0</v>
      </c>
      <c r="AD20" s="170"/>
    </row>
    <row r="21" spans="1:31" s="148" customFormat="1" ht="31.5" customHeight="1">
      <c r="A21" s="287">
        <v>46208</v>
      </c>
      <c r="B21" s="288">
        <v>0</v>
      </c>
      <c r="C21" s="288">
        <v>0</v>
      </c>
      <c r="D21" s="288">
        <f t="shared" si="6"/>
        <v>0</v>
      </c>
      <c r="E21" s="289"/>
      <c r="F21" s="289"/>
      <c r="G21" s="289"/>
      <c r="H21" s="289"/>
      <c r="I21" s="289"/>
      <c r="J21" s="289"/>
      <c r="K21" s="290">
        <v>0</v>
      </c>
      <c r="L21" s="290">
        <v>0</v>
      </c>
      <c r="M21" s="289"/>
      <c r="N21" s="291"/>
      <c r="O21" s="292">
        <v>0</v>
      </c>
      <c r="P21" s="293">
        <v>0</v>
      </c>
      <c r="Q21" s="294">
        <f t="shared" si="11"/>
        <v>0</v>
      </c>
      <c r="R21" s="289"/>
      <c r="S21" s="292"/>
      <c r="T21" s="289"/>
      <c r="U21" s="295"/>
      <c r="V21" s="295"/>
      <c r="W21" s="289"/>
      <c r="X21" s="289"/>
      <c r="Y21" s="296"/>
      <c r="Z21" s="289"/>
      <c r="AA21" s="289"/>
      <c r="AB21" s="297">
        <f t="shared" si="9"/>
        <v>0</v>
      </c>
      <c r="AD21" s="149"/>
      <c r="AE21" s="148" t="s">
        <v>77</v>
      </c>
    </row>
    <row r="22" spans="1:31" s="37" customFormat="1" ht="31.5" customHeight="1">
      <c r="A22" s="217">
        <v>46209</v>
      </c>
      <c r="B22" s="218">
        <v>2831</v>
      </c>
      <c r="C22" s="218">
        <v>2913</v>
      </c>
      <c r="D22" s="218">
        <f t="shared" ref="D22:D32" si="12">+C22-B22</f>
        <v>82</v>
      </c>
      <c r="E22" s="219"/>
      <c r="F22" s="219"/>
      <c r="G22" s="219"/>
      <c r="H22" s="219"/>
      <c r="I22" s="219"/>
      <c r="J22" s="219"/>
      <c r="K22" s="220">
        <v>0.33333333333333331</v>
      </c>
      <c r="L22" s="220">
        <v>0.75</v>
      </c>
      <c r="M22" s="33"/>
      <c r="N22" s="221"/>
      <c r="O22" s="222">
        <v>0</v>
      </c>
      <c r="P22" s="223">
        <v>0</v>
      </c>
      <c r="Q22" s="224">
        <f t="shared" ref="Q22" si="13">O22*P22</f>
        <v>0</v>
      </c>
      <c r="R22" s="219"/>
      <c r="S22" s="33"/>
      <c r="T22" s="219"/>
      <c r="U22" s="226"/>
      <c r="V22" s="226"/>
      <c r="W22" s="219"/>
      <c r="X22" s="219"/>
      <c r="Y22" s="227">
        <v>1</v>
      </c>
      <c r="Z22" s="219">
        <v>50000</v>
      </c>
      <c r="AA22" s="219"/>
      <c r="AB22" s="228">
        <f t="shared" si="9"/>
        <v>50000</v>
      </c>
      <c r="AD22" s="170"/>
    </row>
    <row r="23" spans="1:31" s="171" customFormat="1" ht="31.15" customHeight="1">
      <c r="A23" s="217">
        <v>46210</v>
      </c>
      <c r="B23" s="218">
        <v>2913</v>
      </c>
      <c r="C23" s="218">
        <v>2931</v>
      </c>
      <c r="D23" s="218">
        <f t="shared" si="12"/>
        <v>18</v>
      </c>
      <c r="E23" s="219"/>
      <c r="F23" s="219"/>
      <c r="G23" s="219"/>
      <c r="H23" s="219"/>
      <c r="I23" s="219"/>
      <c r="J23" s="219"/>
      <c r="K23" s="220">
        <v>0.33333333333333331</v>
      </c>
      <c r="L23" s="220">
        <v>0.75</v>
      </c>
      <c r="M23" s="219"/>
      <c r="N23" s="221"/>
      <c r="O23" s="222">
        <v>0</v>
      </c>
      <c r="P23" s="223">
        <v>0</v>
      </c>
      <c r="Q23" s="224">
        <f t="shared" ref="Q23" si="14">O23*P23</f>
        <v>0</v>
      </c>
      <c r="R23" s="219"/>
      <c r="S23" s="219"/>
      <c r="T23" s="219"/>
      <c r="U23" s="226"/>
      <c r="V23" s="226"/>
      <c r="W23" s="219"/>
      <c r="X23" s="219"/>
      <c r="Y23" s="227"/>
      <c r="Z23" s="219"/>
      <c r="AA23" s="219"/>
      <c r="AB23" s="228">
        <f t="shared" si="9"/>
        <v>0</v>
      </c>
      <c r="AD23" s="172"/>
    </row>
    <row r="24" spans="1:31" s="171" customFormat="1" ht="31.15" customHeight="1">
      <c r="A24" s="217">
        <v>46211</v>
      </c>
      <c r="B24" s="218">
        <v>2931</v>
      </c>
      <c r="C24" s="218">
        <v>2999</v>
      </c>
      <c r="D24" s="218">
        <f t="shared" si="12"/>
        <v>68</v>
      </c>
      <c r="E24" s="219"/>
      <c r="F24" s="219"/>
      <c r="G24" s="219"/>
      <c r="H24" s="219"/>
      <c r="I24" s="219"/>
      <c r="J24" s="219"/>
      <c r="K24" s="220">
        <v>0.33333333333333331</v>
      </c>
      <c r="L24" s="220">
        <v>0.95833333333333337</v>
      </c>
      <c r="M24" s="219"/>
      <c r="N24" s="221"/>
      <c r="O24" s="222">
        <v>5</v>
      </c>
      <c r="P24" s="223">
        <v>50000</v>
      </c>
      <c r="Q24" s="224">
        <f t="shared" ref="Q24" si="15">O24*P24</f>
        <v>250000</v>
      </c>
      <c r="R24" s="219"/>
      <c r="S24" s="219"/>
      <c r="T24" s="219"/>
      <c r="U24" s="226"/>
      <c r="V24" s="226"/>
      <c r="W24" s="219"/>
      <c r="X24" s="219"/>
      <c r="Y24" s="227">
        <v>1</v>
      </c>
      <c r="Z24" s="219">
        <v>50000</v>
      </c>
      <c r="AA24" s="219"/>
      <c r="AB24" s="228">
        <f t="shared" si="9"/>
        <v>300000</v>
      </c>
      <c r="AD24" s="172"/>
    </row>
    <row r="25" spans="1:31" s="215" customFormat="1" ht="31.5" customHeight="1">
      <c r="A25" s="217">
        <v>46212</v>
      </c>
      <c r="B25" s="218">
        <v>2999</v>
      </c>
      <c r="C25" s="218">
        <v>3076</v>
      </c>
      <c r="D25" s="218">
        <f t="shared" si="12"/>
        <v>77</v>
      </c>
      <c r="E25" s="219"/>
      <c r="F25" s="229"/>
      <c r="G25" s="229"/>
      <c r="H25" s="229"/>
      <c r="I25" s="229"/>
      <c r="J25" s="229"/>
      <c r="K25" s="220">
        <v>0.33333333333333331</v>
      </c>
      <c r="L25" s="220">
        <v>0.75</v>
      </c>
      <c r="M25" s="219"/>
      <c r="N25" s="221"/>
      <c r="O25" s="222">
        <v>0</v>
      </c>
      <c r="P25" s="223">
        <v>0</v>
      </c>
      <c r="Q25" s="224">
        <f t="shared" ref="Q25" si="16">O25*P25</f>
        <v>0</v>
      </c>
      <c r="R25" s="226"/>
      <c r="S25" s="219"/>
      <c r="T25" s="219"/>
      <c r="U25" s="226"/>
      <c r="V25" s="226"/>
      <c r="W25" s="219"/>
      <c r="X25" s="219"/>
      <c r="Y25" s="227"/>
      <c r="Z25" s="219"/>
      <c r="AA25" s="219"/>
      <c r="AB25" s="228">
        <f t="shared" si="9"/>
        <v>0</v>
      </c>
      <c r="AD25" s="216"/>
    </row>
    <row r="26" spans="1:31" s="37" customFormat="1" ht="31.15" customHeight="1">
      <c r="A26" s="217">
        <v>46213</v>
      </c>
      <c r="B26" s="218">
        <v>3076</v>
      </c>
      <c r="C26" s="218">
        <v>3100</v>
      </c>
      <c r="D26" s="218">
        <f t="shared" si="12"/>
        <v>24</v>
      </c>
      <c r="E26" s="219"/>
      <c r="F26" s="219"/>
      <c r="G26" s="219"/>
      <c r="H26" s="219"/>
      <c r="I26" s="219"/>
      <c r="J26" s="219"/>
      <c r="K26" s="220">
        <v>0.33333333333333331</v>
      </c>
      <c r="L26" s="220">
        <v>0.75</v>
      </c>
      <c r="M26" s="225"/>
      <c r="N26" s="221"/>
      <c r="O26" s="222">
        <v>0</v>
      </c>
      <c r="P26" s="223">
        <v>0</v>
      </c>
      <c r="Q26" s="223">
        <v>0</v>
      </c>
      <c r="R26" s="225"/>
      <c r="S26" s="225"/>
      <c r="T26" s="219"/>
      <c r="U26" s="226"/>
      <c r="V26" s="226"/>
      <c r="W26" s="219"/>
      <c r="X26" s="219"/>
      <c r="Y26" s="227">
        <v>1</v>
      </c>
      <c r="Z26" s="219">
        <v>50000</v>
      </c>
      <c r="AA26" s="219"/>
      <c r="AB26" s="228">
        <f t="shared" si="9"/>
        <v>50000</v>
      </c>
      <c r="AD26" s="170"/>
    </row>
    <row r="27" spans="1:31" s="37" customFormat="1" ht="31.5" customHeight="1">
      <c r="A27" s="217">
        <v>46214</v>
      </c>
      <c r="B27" s="218">
        <v>3100</v>
      </c>
      <c r="C27" s="218">
        <v>3108</v>
      </c>
      <c r="D27" s="218">
        <f t="shared" si="12"/>
        <v>8</v>
      </c>
      <c r="E27" s="219"/>
      <c r="F27" s="219"/>
      <c r="G27" s="219"/>
      <c r="H27" s="219"/>
      <c r="I27" s="219"/>
      <c r="J27" s="219"/>
      <c r="K27" s="220">
        <v>0.33333333333333331</v>
      </c>
      <c r="L27" s="220">
        <v>0.75</v>
      </c>
      <c r="M27" s="219"/>
      <c r="N27" s="221"/>
      <c r="O27" s="222">
        <v>0</v>
      </c>
      <c r="P27" s="223">
        <v>0</v>
      </c>
      <c r="Q27" s="223">
        <v>0</v>
      </c>
      <c r="R27" s="219"/>
      <c r="S27" s="219"/>
      <c r="T27" s="219"/>
      <c r="U27" s="226"/>
      <c r="V27" s="226"/>
      <c r="W27" s="219"/>
      <c r="X27" s="219"/>
      <c r="Y27" s="227"/>
      <c r="Z27" s="219"/>
      <c r="AA27" s="219"/>
      <c r="AB27" s="228">
        <f t="shared" si="9"/>
        <v>0</v>
      </c>
      <c r="AD27" s="170"/>
    </row>
    <row r="28" spans="1:31" s="179" customFormat="1" ht="31.5" customHeight="1">
      <c r="A28" s="287">
        <v>46215</v>
      </c>
      <c r="B28" s="288">
        <v>0</v>
      </c>
      <c r="C28" s="288">
        <v>0</v>
      </c>
      <c r="D28" s="288">
        <f t="shared" si="12"/>
        <v>0</v>
      </c>
      <c r="E28" s="289"/>
      <c r="F28" s="289"/>
      <c r="G28" s="289"/>
      <c r="H28" s="289"/>
      <c r="I28" s="289"/>
      <c r="J28" s="289"/>
      <c r="K28" s="290">
        <v>0</v>
      </c>
      <c r="L28" s="290">
        <v>0</v>
      </c>
      <c r="M28" s="298"/>
      <c r="N28" s="291"/>
      <c r="O28" s="292">
        <v>0</v>
      </c>
      <c r="P28" s="293">
        <v>0</v>
      </c>
      <c r="Q28" s="293">
        <v>0</v>
      </c>
      <c r="R28" s="289"/>
      <c r="S28" s="298"/>
      <c r="T28" s="289"/>
      <c r="U28" s="295">
        <f>S28*T28</f>
        <v>0</v>
      </c>
      <c r="V28" s="295"/>
      <c r="W28" s="289"/>
      <c r="X28" s="289"/>
      <c r="Y28" s="296"/>
      <c r="Z28" s="289"/>
      <c r="AA28" s="289"/>
      <c r="AB28" s="297">
        <f>SUM(I28+N28+Q28+R28+X28+Z28+AA28+U28)</f>
        <v>0</v>
      </c>
      <c r="AD28" s="180"/>
    </row>
    <row r="29" spans="1:31" s="174" customFormat="1" ht="31.5" customHeight="1">
      <c r="A29" s="217">
        <v>46216</v>
      </c>
      <c r="B29" s="218">
        <v>3108</v>
      </c>
      <c r="C29" s="218">
        <v>3253</v>
      </c>
      <c r="D29" s="218">
        <f t="shared" si="12"/>
        <v>145</v>
      </c>
      <c r="E29" s="219"/>
      <c r="F29" s="219"/>
      <c r="G29" s="219"/>
      <c r="H29" s="219"/>
      <c r="I29" s="219"/>
      <c r="J29" s="219"/>
      <c r="K29" s="220">
        <v>0.33333333333333331</v>
      </c>
      <c r="L29" s="220">
        <v>0.875</v>
      </c>
      <c r="M29" s="219"/>
      <c r="N29" s="221"/>
      <c r="O29" s="222">
        <v>3</v>
      </c>
      <c r="P29" s="223">
        <v>50000</v>
      </c>
      <c r="Q29" s="224">
        <f t="shared" ref="Q29" si="17">O29*P29</f>
        <v>150000</v>
      </c>
      <c r="R29" s="224"/>
      <c r="S29" s="219"/>
      <c r="T29" s="219"/>
      <c r="U29" s="226"/>
      <c r="V29" s="226"/>
      <c r="W29" s="219"/>
      <c r="X29" s="219"/>
      <c r="Y29" s="227"/>
      <c r="Z29" s="219"/>
      <c r="AA29" s="219"/>
      <c r="AB29" s="228">
        <f t="shared" ref="AB29:AB38" si="18">SUM(I29+N29+Q29+R29+X29+Z29+AA29+U29)</f>
        <v>150000</v>
      </c>
      <c r="AD29" s="175"/>
    </row>
    <row r="30" spans="1:31" s="37" customFormat="1" ht="31.5" customHeight="1">
      <c r="A30" s="217">
        <v>46217</v>
      </c>
      <c r="B30" s="218">
        <v>3253</v>
      </c>
      <c r="C30" s="218">
        <v>3324</v>
      </c>
      <c r="D30" s="218">
        <f t="shared" si="12"/>
        <v>71</v>
      </c>
      <c r="E30" s="219"/>
      <c r="F30" s="219"/>
      <c r="G30" s="219"/>
      <c r="H30" s="219"/>
      <c r="I30" s="219"/>
      <c r="J30" s="219"/>
      <c r="K30" s="220">
        <v>0.33333333333333331</v>
      </c>
      <c r="L30" s="220">
        <v>0.75</v>
      </c>
      <c r="M30" s="225"/>
      <c r="N30" s="221"/>
      <c r="O30" s="222">
        <v>0</v>
      </c>
      <c r="P30" s="223">
        <v>0</v>
      </c>
      <c r="Q30" s="224">
        <v>0</v>
      </c>
      <c r="R30" s="224"/>
      <c r="S30" s="225"/>
      <c r="T30" s="219"/>
      <c r="U30" s="226"/>
      <c r="V30" s="226"/>
      <c r="W30" s="219"/>
      <c r="X30" s="219"/>
      <c r="Y30" s="227"/>
      <c r="Z30" s="219"/>
      <c r="AA30" s="219"/>
      <c r="AB30" s="228">
        <f t="shared" si="18"/>
        <v>0</v>
      </c>
      <c r="AD30" s="170"/>
    </row>
    <row r="31" spans="1:31" s="37" customFormat="1" ht="31.15" customHeight="1">
      <c r="A31" s="217">
        <v>46218</v>
      </c>
      <c r="B31" s="218">
        <v>3324</v>
      </c>
      <c r="C31" s="218">
        <v>3330</v>
      </c>
      <c r="D31" s="218">
        <f t="shared" si="12"/>
        <v>6</v>
      </c>
      <c r="E31" s="219"/>
      <c r="F31" s="219"/>
      <c r="G31" s="219"/>
      <c r="H31" s="219"/>
      <c r="I31" s="219"/>
      <c r="J31" s="219"/>
      <c r="K31" s="220">
        <v>0.33333333333333331</v>
      </c>
      <c r="L31" s="220">
        <v>0.75</v>
      </c>
      <c r="M31" s="225"/>
      <c r="N31" s="221"/>
      <c r="O31" s="222">
        <v>0</v>
      </c>
      <c r="P31" s="223">
        <v>0</v>
      </c>
      <c r="Q31" s="224">
        <f t="shared" ref="Q31:Q34" si="19">O31*P31</f>
        <v>0</v>
      </c>
      <c r="R31" s="286"/>
      <c r="S31" s="225"/>
      <c r="T31" s="219"/>
      <c r="U31" s="226"/>
      <c r="V31" s="226"/>
      <c r="W31" s="219"/>
      <c r="X31" s="219"/>
      <c r="Y31" s="227"/>
      <c r="Z31" s="219"/>
      <c r="AA31" s="219"/>
      <c r="AB31" s="228">
        <f t="shared" si="18"/>
        <v>0</v>
      </c>
    </row>
    <row r="32" spans="1:31" s="215" customFormat="1" ht="31.15" customHeight="1">
      <c r="A32" s="217">
        <v>46219</v>
      </c>
      <c r="B32" s="218">
        <v>3330</v>
      </c>
      <c r="C32" s="218">
        <v>3342</v>
      </c>
      <c r="D32" s="218">
        <f t="shared" si="12"/>
        <v>12</v>
      </c>
      <c r="E32" s="219"/>
      <c r="F32" s="229"/>
      <c r="G32" s="229"/>
      <c r="H32" s="229"/>
      <c r="I32" s="229"/>
      <c r="J32" s="229"/>
      <c r="K32" s="220">
        <v>0.33333333333333331</v>
      </c>
      <c r="L32" s="220">
        <v>0.75</v>
      </c>
      <c r="M32" s="225"/>
      <c r="N32" s="221"/>
      <c r="O32" s="222">
        <v>0</v>
      </c>
      <c r="P32" s="223">
        <v>0</v>
      </c>
      <c r="Q32" s="224">
        <f t="shared" ref="Q32" si="20">O32*P32</f>
        <v>0</v>
      </c>
      <c r="R32" s="219"/>
      <c r="S32" s="219"/>
      <c r="T32" s="219"/>
      <c r="U32" s="226"/>
      <c r="V32" s="226"/>
      <c r="W32" s="219"/>
      <c r="X32" s="219"/>
      <c r="Y32" s="227"/>
      <c r="Z32" s="219"/>
      <c r="AA32" s="219"/>
      <c r="AB32" s="228">
        <f t="shared" si="18"/>
        <v>0</v>
      </c>
    </row>
    <row r="33" spans="1:29" s="171" customFormat="1" ht="31.5" customHeight="1">
      <c r="A33" s="217">
        <v>46220</v>
      </c>
      <c r="B33" s="218">
        <v>3342</v>
      </c>
      <c r="C33" s="218">
        <v>3369</v>
      </c>
      <c r="D33" s="218">
        <f t="shared" ref="D33:D41" si="21">+C33-B33</f>
        <v>27</v>
      </c>
      <c r="E33" s="219"/>
      <c r="F33" s="229"/>
      <c r="G33" s="229"/>
      <c r="H33" s="229"/>
      <c r="I33" s="229"/>
      <c r="J33" s="229"/>
      <c r="K33" s="220">
        <v>0.33333333333333331</v>
      </c>
      <c r="L33" s="220">
        <v>0.75</v>
      </c>
      <c r="M33" s="219"/>
      <c r="N33" s="221"/>
      <c r="O33" s="222">
        <v>0</v>
      </c>
      <c r="P33" s="223">
        <v>0</v>
      </c>
      <c r="Q33" s="224">
        <v>0</v>
      </c>
      <c r="R33" s="219"/>
      <c r="S33" s="219"/>
      <c r="T33" s="219"/>
      <c r="U33" s="226"/>
      <c r="V33" s="226"/>
      <c r="W33" s="219"/>
      <c r="X33" s="219"/>
      <c r="Y33" s="227">
        <v>1</v>
      </c>
      <c r="Z33" s="219">
        <v>50000</v>
      </c>
      <c r="AA33" s="219"/>
      <c r="AB33" s="228">
        <f t="shared" si="18"/>
        <v>50000</v>
      </c>
    </row>
    <row r="34" spans="1:29" s="171" customFormat="1" ht="31.5" customHeight="1">
      <c r="A34" s="217">
        <v>46221</v>
      </c>
      <c r="B34" s="218">
        <v>3369</v>
      </c>
      <c r="C34" s="218">
        <v>3372</v>
      </c>
      <c r="D34" s="218">
        <f t="shared" si="21"/>
        <v>3</v>
      </c>
      <c r="E34" s="219"/>
      <c r="F34" s="229"/>
      <c r="G34" s="229"/>
      <c r="H34" s="229"/>
      <c r="I34" s="229"/>
      <c r="J34" s="229"/>
      <c r="K34" s="220">
        <v>0.33333333333333331</v>
      </c>
      <c r="L34" s="220">
        <v>0.75</v>
      </c>
      <c r="M34" s="225"/>
      <c r="N34" s="221"/>
      <c r="O34" s="222">
        <v>0</v>
      </c>
      <c r="P34" s="223">
        <v>0</v>
      </c>
      <c r="Q34" s="224">
        <f t="shared" si="19"/>
        <v>0</v>
      </c>
      <c r="R34" s="219"/>
      <c r="S34" s="219"/>
      <c r="T34" s="219"/>
      <c r="U34" s="226">
        <f>S34*T34</f>
        <v>0</v>
      </c>
      <c r="V34" s="226"/>
      <c r="W34" s="219"/>
      <c r="X34" s="219"/>
      <c r="Y34" s="227"/>
      <c r="Z34" s="219"/>
      <c r="AA34" s="219"/>
      <c r="AB34" s="228">
        <f t="shared" si="18"/>
        <v>0</v>
      </c>
    </row>
    <row r="35" spans="1:29" s="215" customFormat="1" ht="31.5" customHeight="1">
      <c r="A35" s="287">
        <v>46222</v>
      </c>
      <c r="B35" s="288">
        <v>0</v>
      </c>
      <c r="C35" s="288">
        <v>0</v>
      </c>
      <c r="D35" s="288">
        <f t="shared" si="21"/>
        <v>0</v>
      </c>
      <c r="E35" s="289"/>
      <c r="F35" s="299"/>
      <c r="G35" s="299"/>
      <c r="H35" s="299"/>
      <c r="I35" s="299"/>
      <c r="J35" s="299"/>
      <c r="K35" s="290">
        <v>0</v>
      </c>
      <c r="L35" s="290">
        <v>0</v>
      </c>
      <c r="M35" s="289"/>
      <c r="N35" s="291"/>
      <c r="O35" s="292">
        <v>0</v>
      </c>
      <c r="P35" s="293">
        <v>0</v>
      </c>
      <c r="Q35" s="294">
        <f t="shared" ref="Q35:Q36" si="22">O35*P35</f>
        <v>0</v>
      </c>
      <c r="R35" s="289"/>
      <c r="S35" s="289"/>
      <c r="T35" s="289"/>
      <c r="U35" s="295"/>
      <c r="V35" s="295"/>
      <c r="W35" s="289"/>
      <c r="X35" s="289"/>
      <c r="Y35" s="296"/>
      <c r="Z35" s="289"/>
      <c r="AA35" s="289"/>
      <c r="AB35" s="297">
        <f t="shared" si="18"/>
        <v>0</v>
      </c>
    </row>
    <row r="36" spans="1:29" s="171" customFormat="1" ht="31.5" customHeight="1">
      <c r="A36" s="217">
        <v>46223</v>
      </c>
      <c r="B36" s="218">
        <v>3372</v>
      </c>
      <c r="C36" s="218">
        <v>3445</v>
      </c>
      <c r="D36" s="218">
        <f t="shared" si="21"/>
        <v>73</v>
      </c>
      <c r="E36" s="219"/>
      <c r="F36" s="229"/>
      <c r="G36" s="229"/>
      <c r="H36" s="229"/>
      <c r="I36" s="229"/>
      <c r="J36" s="229"/>
      <c r="K36" s="220">
        <v>0.33333333333333331</v>
      </c>
      <c r="L36" s="220">
        <v>0.75</v>
      </c>
      <c r="M36" s="225"/>
      <c r="N36" s="221"/>
      <c r="O36" s="222">
        <v>0</v>
      </c>
      <c r="P36" s="223">
        <v>0</v>
      </c>
      <c r="Q36" s="224">
        <f t="shared" si="22"/>
        <v>0</v>
      </c>
      <c r="R36" s="219"/>
      <c r="S36" s="219"/>
      <c r="T36" s="219"/>
      <c r="U36" s="226"/>
      <c r="V36" s="226"/>
      <c r="W36" s="219"/>
      <c r="X36" s="219"/>
      <c r="Y36" s="227">
        <v>1</v>
      </c>
      <c r="Z36" s="219">
        <v>50000</v>
      </c>
      <c r="AA36" s="219"/>
      <c r="AB36" s="228">
        <f t="shared" si="18"/>
        <v>50000</v>
      </c>
    </row>
    <row r="37" spans="1:29" s="37" customFormat="1" ht="31.5" customHeight="1">
      <c r="A37" s="217">
        <v>46224</v>
      </c>
      <c r="B37" s="233">
        <v>3445</v>
      </c>
      <c r="C37" s="233">
        <v>3469</v>
      </c>
      <c r="D37" s="218">
        <f t="shared" si="21"/>
        <v>24</v>
      </c>
      <c r="E37" s="219"/>
      <c r="F37" s="219"/>
      <c r="G37" s="219"/>
      <c r="H37" s="219"/>
      <c r="I37" s="219"/>
      <c r="J37" s="219"/>
      <c r="K37" s="220">
        <v>0.33333333333333331</v>
      </c>
      <c r="L37" s="220">
        <v>0.75</v>
      </c>
      <c r="M37" s="225"/>
      <c r="N37" s="221"/>
      <c r="O37" s="222">
        <v>0</v>
      </c>
      <c r="P37" s="223">
        <v>0</v>
      </c>
      <c r="Q37" s="224">
        <f t="shared" ref="Q37" si="23">O37*P37</f>
        <v>0</v>
      </c>
      <c r="R37" s="219"/>
      <c r="S37" s="219"/>
      <c r="T37" s="219"/>
      <c r="U37" s="226"/>
      <c r="V37" s="226"/>
      <c r="W37" s="219"/>
      <c r="X37" s="219"/>
      <c r="Y37" s="227"/>
      <c r="Z37" s="219"/>
      <c r="AA37" s="219"/>
      <c r="AB37" s="228">
        <f t="shared" si="18"/>
        <v>0</v>
      </c>
    </row>
    <row r="38" spans="1:29" s="37" customFormat="1" ht="31.5" customHeight="1">
      <c r="A38" s="217">
        <v>46225</v>
      </c>
      <c r="B38" s="218">
        <v>3469</v>
      </c>
      <c r="C38" s="218">
        <v>3533</v>
      </c>
      <c r="D38" s="218">
        <f t="shared" si="21"/>
        <v>64</v>
      </c>
      <c r="E38" s="219"/>
      <c r="F38" s="219"/>
      <c r="G38" s="219"/>
      <c r="H38" s="219"/>
      <c r="I38" s="219"/>
      <c r="J38" s="219"/>
      <c r="K38" s="220">
        <v>0.33333333333333331</v>
      </c>
      <c r="L38" s="220">
        <v>0.75</v>
      </c>
      <c r="M38" s="219"/>
      <c r="N38" s="221"/>
      <c r="O38" s="231">
        <v>0</v>
      </c>
      <c r="P38" s="232">
        <v>0</v>
      </c>
      <c r="Q38" s="224">
        <f t="shared" ref="Q38:Q39" si="24">O38*P38</f>
        <v>0</v>
      </c>
      <c r="R38" s="219"/>
      <c r="S38" s="219"/>
      <c r="T38" s="219"/>
      <c r="U38" s="226"/>
      <c r="V38" s="226"/>
      <c r="W38" s="219"/>
      <c r="X38" s="219"/>
      <c r="Y38" s="227">
        <v>1</v>
      </c>
      <c r="Z38" s="219">
        <v>50000</v>
      </c>
      <c r="AA38" s="219"/>
      <c r="AB38" s="228">
        <f t="shared" si="18"/>
        <v>50000</v>
      </c>
    </row>
    <row r="39" spans="1:29" s="148" customFormat="1" ht="31.5" customHeight="1">
      <c r="A39" s="217">
        <v>46226</v>
      </c>
      <c r="B39" s="218">
        <v>3533</v>
      </c>
      <c r="C39" s="218">
        <v>3543</v>
      </c>
      <c r="D39" s="218">
        <f t="shared" si="21"/>
        <v>10</v>
      </c>
      <c r="E39" s="219"/>
      <c r="F39" s="219"/>
      <c r="G39" s="219"/>
      <c r="H39" s="219"/>
      <c r="I39" s="219"/>
      <c r="J39" s="219"/>
      <c r="K39" s="220">
        <v>0.33333333333333331</v>
      </c>
      <c r="L39" s="220">
        <v>0.79166666666666663</v>
      </c>
      <c r="M39" s="219"/>
      <c r="N39" s="221"/>
      <c r="O39" s="231">
        <v>1</v>
      </c>
      <c r="P39" s="232">
        <v>50000</v>
      </c>
      <c r="Q39" s="224">
        <f t="shared" si="24"/>
        <v>50000</v>
      </c>
      <c r="R39" s="219"/>
      <c r="S39" s="219"/>
      <c r="T39" s="219"/>
      <c r="U39" s="226"/>
      <c r="V39" s="226"/>
      <c r="W39" s="219"/>
      <c r="X39" s="219"/>
      <c r="Y39" s="227"/>
      <c r="Z39" s="219"/>
      <c r="AA39" s="219"/>
      <c r="AB39" s="228">
        <f t="shared" ref="AB39" si="25">SUM(I39+N39+Q39+R39+X39+Z39+AA39+U39)</f>
        <v>50000</v>
      </c>
    </row>
    <row r="40" spans="1:29" s="171" customFormat="1" ht="31.5" customHeight="1">
      <c r="A40" s="217">
        <v>46227</v>
      </c>
      <c r="B40" s="218">
        <v>3543</v>
      </c>
      <c r="C40" s="218">
        <v>3567</v>
      </c>
      <c r="D40" s="218">
        <f t="shared" si="21"/>
        <v>24</v>
      </c>
      <c r="E40" s="219"/>
      <c r="F40" s="229"/>
      <c r="G40" s="229"/>
      <c r="H40" s="229"/>
      <c r="I40" s="229"/>
      <c r="J40" s="229"/>
      <c r="K40" s="220">
        <v>0.33333333333333331</v>
      </c>
      <c r="L40" s="220">
        <v>0.79166666666666663</v>
      </c>
      <c r="M40" s="219"/>
      <c r="N40" s="221"/>
      <c r="O40" s="231">
        <v>1</v>
      </c>
      <c r="P40" s="232">
        <v>50000</v>
      </c>
      <c r="Q40" s="224">
        <f t="shared" ref="Q40:Q41" si="26">O40*P40</f>
        <v>50000</v>
      </c>
      <c r="R40" s="219"/>
      <c r="S40" s="219"/>
      <c r="T40" s="219"/>
      <c r="U40" s="226"/>
      <c r="V40" s="226"/>
      <c r="W40" s="219"/>
      <c r="X40" s="219"/>
      <c r="Y40" s="227">
        <v>1</v>
      </c>
      <c r="Z40" s="219">
        <v>50000</v>
      </c>
      <c r="AA40" s="219"/>
      <c r="AB40" s="228">
        <f t="shared" ref="AB40:AB41" si="27">SUM(I40+N40+Q40+R40+X40+Z40+AA40+U40)</f>
        <v>100000</v>
      </c>
    </row>
    <row r="41" spans="1:29" s="171" customFormat="1" ht="31.5" customHeight="1">
      <c r="A41" s="260">
        <v>46228</v>
      </c>
      <c r="B41" s="261">
        <v>3567</v>
      </c>
      <c r="C41" s="261">
        <v>3643</v>
      </c>
      <c r="D41" s="261">
        <f t="shared" si="21"/>
        <v>76</v>
      </c>
      <c r="E41" s="262"/>
      <c r="F41" s="263"/>
      <c r="G41" s="263"/>
      <c r="H41" s="263"/>
      <c r="I41" s="263"/>
      <c r="J41" s="263"/>
      <c r="K41" s="264">
        <v>0.33333333333333331</v>
      </c>
      <c r="L41" s="220">
        <v>0.79166666666666663</v>
      </c>
      <c r="M41" s="265"/>
      <c r="N41" s="266"/>
      <c r="O41" s="231">
        <v>1</v>
      </c>
      <c r="P41" s="232">
        <v>50000</v>
      </c>
      <c r="Q41" s="224">
        <f t="shared" si="26"/>
        <v>50000</v>
      </c>
      <c r="R41" s="262"/>
      <c r="S41" s="265"/>
      <c r="T41" s="262"/>
      <c r="U41" s="267"/>
      <c r="V41" s="267"/>
      <c r="W41" s="262"/>
      <c r="X41" s="262"/>
      <c r="Y41" s="268"/>
      <c r="Z41" s="262"/>
      <c r="AA41" s="262"/>
      <c r="AB41" s="269">
        <f t="shared" si="27"/>
        <v>50000</v>
      </c>
    </row>
    <row r="42" spans="1:29" s="283" customFormat="1" ht="31.5" customHeight="1">
      <c r="A42" s="270"/>
      <c r="B42" s="271"/>
      <c r="C42" s="272"/>
      <c r="D42" s="273">
        <f>+SUM(D12:D41)</f>
        <v>1134</v>
      </c>
      <c r="E42" s="274">
        <f>SUM(E11:E41)</f>
        <v>3000</v>
      </c>
      <c r="F42" s="275">
        <v>42000000</v>
      </c>
      <c r="G42" s="275">
        <v>0</v>
      </c>
      <c r="H42" s="275">
        <v>10000</v>
      </c>
      <c r="I42" s="276">
        <f>+G42*H42</f>
        <v>0</v>
      </c>
      <c r="J42" s="276"/>
      <c r="K42" s="277"/>
      <c r="L42" s="277"/>
      <c r="M42" s="278">
        <f>SUM(M11:M41)</f>
        <v>0</v>
      </c>
      <c r="N42" s="276">
        <f>SUM(N12:N41)</f>
        <v>0</v>
      </c>
      <c r="O42" s="278">
        <f>SUM(O11:O41)</f>
        <v>16</v>
      </c>
      <c r="P42" s="279"/>
      <c r="Q42" s="276">
        <f>SUM(Q11:Q41)</f>
        <v>800000</v>
      </c>
      <c r="R42" s="276">
        <f>SUM(R11:R41)</f>
        <v>0</v>
      </c>
      <c r="S42" s="278">
        <f>SUM(S11:S41)</f>
        <v>0</v>
      </c>
      <c r="T42" s="276"/>
      <c r="U42" s="276">
        <f>SUM(U11:U41)</f>
        <v>0</v>
      </c>
      <c r="V42" s="278">
        <f>SUM(V11:V41)</f>
        <v>0</v>
      </c>
      <c r="W42" s="280"/>
      <c r="X42" s="276">
        <f>SUM(X11:X41)</f>
        <v>0</v>
      </c>
      <c r="Y42" s="281">
        <f>SUM(Y11:Y41)</f>
        <v>9</v>
      </c>
      <c r="Z42" s="281">
        <f>SUM(Z11:Z41)</f>
        <v>450000</v>
      </c>
      <c r="AA42" s="276">
        <f>SUM(AA11:AA41)</f>
        <v>0</v>
      </c>
      <c r="AB42" s="276">
        <f>SUM(AB11:AB41)</f>
        <v>43250000</v>
      </c>
      <c r="AC42" s="282"/>
    </row>
    <row r="43" spans="1:29" s="1" customFormat="1" ht="9.75" customHeight="1">
      <c r="A43" s="196"/>
      <c r="B43" s="197"/>
      <c r="C43" s="196"/>
      <c r="D43" s="53"/>
      <c r="E43" s="198"/>
      <c r="F43" s="198"/>
      <c r="G43" s="198"/>
      <c r="H43" s="198"/>
      <c r="I43" s="198"/>
      <c r="J43" s="198"/>
      <c r="K43" s="199"/>
      <c r="L43" s="199"/>
      <c r="M43" s="200"/>
      <c r="N43" s="201"/>
      <c r="O43" s="202"/>
      <c r="P43" s="203"/>
      <c r="Q43" s="204"/>
      <c r="R43" s="198"/>
      <c r="S43" s="186"/>
      <c r="T43" s="198"/>
      <c r="U43" s="205"/>
      <c r="V43" s="205"/>
      <c r="W43" s="186"/>
      <c r="X43" s="198"/>
      <c r="Y43" s="206"/>
      <c r="Z43" s="204"/>
      <c r="AA43" s="204"/>
      <c r="AB43" s="204"/>
      <c r="AC43" s="207"/>
    </row>
    <row r="44" spans="1:29" ht="13.5" customHeight="1">
      <c r="A44" s="343" t="str">
        <f>A1</f>
        <v>CÔNG TY TNHH KINH DOANH DỊCH VỤ VẬN TẢI ĐỨC ANH</v>
      </c>
      <c r="B44" s="343"/>
      <c r="C44" s="343"/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  <c r="O44" s="343"/>
      <c r="P44" s="344" t="s">
        <v>83</v>
      </c>
      <c r="Q44" s="344"/>
      <c r="R44" s="344"/>
      <c r="S44" s="344"/>
      <c r="T44" s="344"/>
      <c r="U44" s="344"/>
      <c r="V44" s="344"/>
      <c r="W44" s="344"/>
      <c r="X44" s="344"/>
      <c r="Y44" s="344"/>
      <c r="Z44" s="344"/>
      <c r="AA44" s="344"/>
      <c r="AB44" s="344"/>
      <c r="AC44" s="208"/>
    </row>
    <row r="45" spans="1:29">
      <c r="P45" s="209"/>
      <c r="W45" s="345"/>
      <c r="X45" s="345"/>
      <c r="Y45" s="345"/>
      <c r="Z45" s="345"/>
      <c r="AA45" s="345"/>
      <c r="AB45" s="345"/>
      <c r="AC45" s="208"/>
    </row>
    <row r="46" spans="1:29">
      <c r="AB46" s="210"/>
    </row>
    <row r="47" spans="1:29">
      <c r="C47" s="187"/>
      <c r="D47" s="211"/>
      <c r="F47" s="211"/>
      <c r="H47" s="185"/>
      <c r="X47" s="212"/>
      <c r="AA47" s="208"/>
    </row>
    <row r="48" spans="1:29">
      <c r="D48" s="211"/>
      <c r="F48" s="211"/>
      <c r="Q48" s="208"/>
      <c r="AB48" s="210"/>
    </row>
    <row r="49" spans="4:28">
      <c r="H49" s="208"/>
      <c r="AA49" s="208"/>
      <c r="AB49" s="208"/>
    </row>
    <row r="50" spans="4:28">
      <c r="D50" s="211"/>
      <c r="N50" s="213"/>
    </row>
    <row r="53" spans="4:28">
      <c r="P53" s="214"/>
    </row>
    <row r="56" spans="4:28">
      <c r="Z56" s="211"/>
    </row>
    <row r="57" spans="4:28">
      <c r="Z57" s="211"/>
    </row>
    <row r="58" spans="4:28">
      <c r="Z58" s="211"/>
    </row>
    <row r="59" spans="4:28">
      <c r="Z59" s="211"/>
    </row>
    <row r="60" spans="4:28">
      <c r="Z60" s="211"/>
    </row>
    <row r="61" spans="4:28">
      <c r="D61" s="211"/>
      <c r="Z61" s="211"/>
    </row>
  </sheetData>
  <sheetProtection selectLockedCells="1" selectUnlockedCells="1"/>
  <autoFilter ref="A10:CP44" xr:uid="{00000000-0009-0000-0000-00000A000000}"/>
  <mergeCells count="29">
    <mergeCell ref="A6:AB6"/>
    <mergeCell ref="A5:AB5"/>
    <mergeCell ref="A1:K1"/>
    <mergeCell ref="Q1:AB1"/>
    <mergeCell ref="Q2:AB2"/>
    <mergeCell ref="A3:AB3"/>
    <mergeCell ref="A4:AB4"/>
    <mergeCell ref="A7:AB7"/>
    <mergeCell ref="X8:AB8"/>
    <mergeCell ref="A9:A10"/>
    <mergeCell ref="B9:B10"/>
    <mergeCell ref="C9:C10"/>
    <mergeCell ref="D9:D10"/>
    <mergeCell ref="E9:F9"/>
    <mergeCell ref="G9:I9"/>
    <mergeCell ref="AA9:AA10"/>
    <mergeCell ref="AB9:AB10"/>
    <mergeCell ref="N9:N10"/>
    <mergeCell ref="V9:X9"/>
    <mergeCell ref="A44:O44"/>
    <mergeCell ref="P44:AB44"/>
    <mergeCell ref="W45:AB45"/>
    <mergeCell ref="M9:M10"/>
    <mergeCell ref="O9:Q9"/>
    <mergeCell ref="R9:R10"/>
    <mergeCell ref="S9:U9"/>
    <mergeCell ref="Y9:Z9"/>
    <mergeCell ref="K9:K10"/>
    <mergeCell ref="L9:L10"/>
  </mergeCells>
  <phoneticPr fontId="30" type="noConversion"/>
  <pageMargins left="0.41" right="0.17" top="0.23622047244094491" bottom="0" header="0" footer="0"/>
  <pageSetup paperSize="9"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BẢNG KÊ CHI TIẾT XE MẪU </vt:lpstr>
      <vt:lpstr>BẢNG KÊ THỰC TẾ </vt:lpstr>
      <vt:lpstr>ĐNTT</vt:lpstr>
      <vt:lpstr>BẢNG KÊ CHI TIẾT XE TDP 08</vt:lpstr>
      <vt:lpstr>xe nienyi </vt:lpstr>
      <vt:lpstr>BẢNG KÊ CHI TIẾT XE TDP THEM XE</vt:lpstr>
      <vt:lpstr>BẢNG KÊ CHI TIẾT XUẤT VAT 07</vt:lpstr>
      <vt:lpstr>'BẢNG KÊ CHI TIẾT XE TDP 08'!Print_Area</vt:lpstr>
      <vt:lpstr>'BẢNG KÊ CHI TIẾT XE TDP THEM XE'!Print_Area</vt:lpstr>
      <vt:lpstr>'BẢNG KÊ CHI TIẾT XUẤT VAT 07'!Print_Area</vt:lpstr>
      <vt:lpstr>'BẢNG KÊ THỰC TẾ '!Print_Area</vt:lpstr>
      <vt:lpstr>ĐNTT!Print_Area</vt:lpstr>
      <vt:lpstr>'xe nienyi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AHIHI</cp:lastModifiedBy>
  <cp:lastPrinted>2026-03-26T14:39:30Z</cp:lastPrinted>
  <dcterms:created xsi:type="dcterms:W3CDTF">2018-11-15T08:32:55Z</dcterms:created>
  <dcterms:modified xsi:type="dcterms:W3CDTF">2026-07-26T15:54:48Z</dcterms:modified>
</cp:coreProperties>
</file>