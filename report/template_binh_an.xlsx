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/>
  </bookViews>
  <sheets>
    <sheet name="BINH AN 08" sheetId="1" r:id="rId1"/>
    <sheet name="HỮU NGHỊ BÌNH AN" sheetId="2" r:id="rId2"/>
  </sheets>
  <externalReferences>
    <externalReference r:id="rId3"/>
    <externalReference r:id="rId4"/>
  </externalReferences>
  <definedNames>
    <definedName name="_xlnm._FilterDatabase" localSheetId="0" hidden="1">'BINH AN 08'!$A$8:$K$156</definedName>
    <definedName name="DSCNV08.14">[1]DSCNV!$B$6:$AE$1609</definedName>
    <definedName name="DSCNV10.2014">[1]DSCNV!$B$6:$AK$2212</definedName>
    <definedName name="l10.13">'[2]Bang Luong'!$A$6:$AU$346</definedName>
    <definedName name="luongok">'[1]luong Ok .2015'!$B$7:$BJ$70</definedName>
    <definedName name="PCCC">#REF!</definedName>
    <definedName name="_xlnm.Print_Area" localSheetId="0">'BINH AN 08'!$A$1:$I$168</definedName>
    <definedName name="_xlnm.Print_Titles" localSheetId="0">'BINH AN 08'!$1:$8</definedName>
  </definedNames>
  <calcPr calcId="144525"/>
</workbook>
</file>

<file path=xl/sharedStrings.xml><?xml version="1.0" encoding="utf-8"?>
<sst xmlns="http://schemas.openxmlformats.org/spreadsheetml/2006/main" count="808" uniqueCount="167">
  <si>
    <t>CÔNG TY CP THƯƠNG MẠI ĐẦU TƯ VÀ PHÁT TRIỂN DỊCH VỤ DU LỊCH VẬN TẢI BÌNH AN</t>
  </si>
  <si>
    <t xml:space="preserve">ĐC: Ngõ Đền, TDP Hoàng Mai 3, Phường Nếnh, tỉnh Bắc Ninh, Việt Nam  </t>
  </si>
  <si>
    <t>Mã số Thuế: 2400960417</t>
  </si>
  <si>
    <t>BẢNG ĐỐI CHIẾU KHỐI LƯỢNG VÀ GIÁ TRỊ SỬ DỤNG XE Ô TÔ 
租车使用对账明细表</t>
  </si>
  <si>
    <t>Tháng 07 năm 2026
2026 年 07月</t>
  </si>
  <si>
    <t>Bảng kê từ ngày 26/6/2026 đến 25/07/2026 kèm theo hoá đơn số:   kí hiệu:  ngày:</t>
  </si>
  <si>
    <t xml:space="preserve">   Khách hàng客户: CÔNG TY TNHH CÔNG NGHIỆP NIENYI VIỆT NAM                                                                                                                       </t>
  </si>
  <si>
    <t>序号
Stt</t>
  </si>
  <si>
    <t>日期
Ngày</t>
  </si>
  <si>
    <t>用途
Mục đích</t>
  </si>
  <si>
    <t>行程
Hành trình</t>
  </si>
  <si>
    <t>车
xe</t>
  </si>
  <si>
    <t>等费
PHÍ ĐỢI
(VNĐ)</t>
  </si>
  <si>
    <t>费车(VND)
Số Tiền</t>
  </si>
  <si>
    <t>车牌 Biển số xe</t>
  </si>
  <si>
    <t>备注
Ghi Chú</t>
  </si>
  <si>
    <t>Đi làm
上班</t>
  </si>
  <si>
    <t>kí túc -công ty 
宿舍-公司</t>
  </si>
  <si>
    <t>7座chỗ</t>
  </si>
  <si>
    <t>98A56236</t>
  </si>
  <si>
    <t>7 个人=&gt;7:20</t>
  </si>
  <si>
    <t>Tan làm 
下班</t>
  </si>
  <si>
    <t>công ty - kí túc
公司-宿舍</t>
  </si>
  <si>
    <t>7个人=&gt;20:00</t>
  </si>
  <si>
    <t>7 个人=&gt;7:00</t>
  </si>
  <si>
    <t>7 个人=&gt;17:30</t>
  </si>
  <si>
    <t>công ty CN09- kí túc
公司-宿舍</t>
  </si>
  <si>
    <t>4座chỗ</t>
  </si>
  <si>
    <t>4个人=&gt;20:00</t>
  </si>
  <si>
    <t>công tyCN15 - kí túc
公司-宿舍</t>
  </si>
  <si>
    <t>7 个人=&gt;20:00</t>
  </si>
  <si>
    <t>98A473.34</t>
  </si>
  <si>
    <t>4 个人=&gt;7:20</t>
  </si>
  <si>
    <t>phản cung</t>
  </si>
  <si>
    <t xml:space="preserve"> hòa phú _ công ty 
北江_公司</t>
  </si>
  <si>
    <t>1个人=&gt;17:00</t>
  </si>
  <si>
    <t>công tyCN09 - kí túc
公司-宿舍</t>
  </si>
  <si>
    <t>san bay
机场</t>
  </si>
  <si>
    <t>sân bay - kí túc
机场-宿舍</t>
  </si>
  <si>
    <t>2 个人=&gt;17:00 WANG MENG/LONG HAI YING</t>
  </si>
  <si>
    <t>99H146.58</t>
  </si>
  <si>
    <t>Cn09_ ký túc
公司-宿舍</t>
  </si>
  <si>
    <t>CN15_CN09</t>
  </si>
  <si>
    <t xml:space="preserve">công tyCN15 - CN09
</t>
  </si>
  <si>
    <t>7 个人=&gt;19:45</t>
  </si>
  <si>
    <t>CN15_CN9</t>
  </si>
  <si>
    <t>30A795.11</t>
  </si>
  <si>
    <t>CN15_ ký túc
公司-宿舍</t>
  </si>
  <si>
    <t xml:space="preserve">4个人=&gt;17:30   </t>
  </si>
  <si>
    <t>98A623.59</t>
  </si>
  <si>
    <t>7 个人=&gt;17:40</t>
  </si>
  <si>
    <t xml:space="preserve">công tyCN09 - CN15 
</t>
  </si>
  <si>
    <t>4个人=&gt;18:00</t>
  </si>
  <si>
    <t>7 个人=&gt;18:20</t>
  </si>
  <si>
    <t>98A352.11</t>
  </si>
  <si>
    <t>4 个人=&gt;20:00</t>
  </si>
  <si>
    <t>2 个人=&gt;8:00</t>
  </si>
  <si>
    <t>4 个人=&gt;17:30</t>
  </si>
  <si>
    <t>A</t>
  </si>
  <si>
    <t>TỔNG XE 98A56236</t>
  </si>
  <si>
    <t>98A55282</t>
  </si>
  <si>
    <t>đi ăn
吃饭</t>
  </si>
  <si>
    <t xml:space="preserve"> kí túc_ butoomac
宿舍_ 北宁</t>
  </si>
  <si>
    <t>7个人=&gt;18:00</t>
  </si>
  <si>
    <t xml:space="preserve">        7个人=&gt;7:20</t>
  </si>
  <si>
    <t xml:space="preserve">        4个人=&gt;20:00</t>
  </si>
  <si>
    <t xml:space="preserve">        4个人=&gt;7:20</t>
  </si>
  <si>
    <t>san bay - kí túc
机场 - 宿舍</t>
  </si>
  <si>
    <t xml:space="preserve">        1 个人=&gt;14:20</t>
  </si>
  <si>
    <t>2个人=&gt;7:20</t>
  </si>
  <si>
    <t>7个人=&gt;17:30</t>
  </si>
  <si>
    <t>quang châu _CN15
CN15 _ 光州</t>
  </si>
  <si>
    <t>1个人=&gt; 8:45</t>
  </si>
  <si>
    <t>CN15_quang châu
 光州_CN15</t>
  </si>
  <si>
    <t>1个人=&gt;8:30</t>
  </si>
  <si>
    <t>B</t>
  </si>
  <si>
    <t>TỔNG XE 98A55282</t>
  </si>
  <si>
    <t>98A850.98</t>
  </si>
  <si>
    <t>7个人 (TÙNG)20:00</t>
  </si>
  <si>
    <t>CN15_butoomac
CN15_ 北宁</t>
  </si>
  <si>
    <t xml:space="preserve">4个人 (TÙNG) 18:00 </t>
  </si>
  <si>
    <t>công ty CN09 - kí túc
公司-宿舍</t>
  </si>
  <si>
    <t>1个人=&gt; (TÙNG)10:30</t>
  </si>
  <si>
    <t>C</t>
  </si>
  <si>
    <t>TỔNG XE 98A850.98</t>
  </si>
  <si>
    <t>đình trám
工业区</t>
  </si>
  <si>
    <t>công ty _ đình trám
公司 - ĐINH TRAM工业区</t>
  </si>
  <si>
    <t>98A91764</t>
  </si>
  <si>
    <t>2个人=&gt;15:00</t>
  </si>
  <si>
    <t>đình trám _ công ty
ĐINH TRAM工业区 - 公司</t>
  </si>
  <si>
    <t>2个人=&gt;15:30</t>
  </si>
  <si>
    <t>công ty CN15 - kí túc
公司-宿舍</t>
  </si>
  <si>
    <t>98A91765</t>
  </si>
  <si>
    <t>21A138.57</t>
  </si>
  <si>
    <t xml:space="preserve">7个人=&gt;7:20 </t>
  </si>
  <si>
    <t xml:space="preserve">1个人=&gt;17:30  </t>
  </si>
  <si>
    <t>Đi làm đêm
上夜班</t>
  </si>
  <si>
    <t>1个人=&gt;19:30</t>
  </si>
  <si>
    <t>7个人=&gt;17:00</t>
  </si>
  <si>
    <t>3个人=&gt;11:30</t>
  </si>
  <si>
    <t>cn09_cn15</t>
  </si>
  <si>
    <t xml:space="preserve"> công ty CN09 _ CN15</t>
  </si>
  <si>
    <t>1 个人=&gt;11:45</t>
  </si>
  <si>
    <t>D</t>
  </si>
  <si>
    <t>TỔNG XE 98A91764</t>
  </si>
  <si>
    <t>98F006.58</t>
  </si>
  <si>
    <t>1个人=&gt;20:10</t>
  </si>
  <si>
    <t>7个人=&gt;20:10</t>
  </si>
  <si>
    <t>bắc giang
北江</t>
  </si>
  <si>
    <t>công ty - bac giang
公司-北江</t>
  </si>
  <si>
    <t>1个人=&gt;9:30</t>
  </si>
  <si>
    <t>giao hàng
运货</t>
  </si>
  <si>
    <t>công ty CN15 - quang châu
公司- 光州 ICT</t>
  </si>
  <si>
    <t>giao hàng运货=&gt;10:00</t>
  </si>
  <si>
    <t>7个人=&gt; 17:30</t>
  </si>
  <si>
    <t>E</t>
  </si>
  <si>
    <t xml:space="preserve">                    TỔNG XE 98F006.58</t>
  </si>
  <si>
    <t>cửa khẩu
友谊关</t>
  </si>
  <si>
    <t>cửa khẩu_ ky túc
友谊关_宿舍</t>
  </si>
  <si>
    <t>1个人 =&gt;14:30_17:30  JIAO YOU JUN</t>
  </si>
  <si>
    <t>kí túc -cửa khẩu 
宿舍- 友谊关</t>
  </si>
  <si>
    <t>12H055.08</t>
  </si>
  <si>
    <t xml:space="preserve">4个人 =&gt;5:00 WU YU SHI, WANG JIAN YONG, XIANG CHAO, SONG XIN </t>
  </si>
  <si>
    <t>2个人 =&gt;5:00 PENG KUN , WU XI YING</t>
  </si>
  <si>
    <t>1个人 =&gt;5:00      JIAO YOU JUN</t>
  </si>
  <si>
    <t xml:space="preserve">3个人 =&gt;15:30  LI BI HUA ,PAN XIAO NA
DENG XIAO RONG </t>
  </si>
  <si>
    <t>98A917.64</t>
  </si>
  <si>
    <t>4个人 =&gt;15:30  ZUO JIE HONG ,LI YUN FEI
DENG JIAN HUI ,ZHANG JIAN SHENG</t>
  </si>
  <si>
    <t>99B054.81</t>
  </si>
  <si>
    <t>2个人 =&gt;5:00 wu liang , zhu qing hua</t>
  </si>
  <si>
    <t>99B394.09</t>
  </si>
  <si>
    <t>1个人 =&gt;15:30 LIANG XIAO MING</t>
  </si>
  <si>
    <t>12H04566</t>
  </si>
  <si>
    <t xml:space="preserve">2个人 =&gt;15:00 WULIANG / PENG KUN </t>
  </si>
  <si>
    <t>99B248.81</t>
  </si>
  <si>
    <t>1个人 =&gt;14:30_18:30     JIAO YOU JUN</t>
  </si>
  <si>
    <t>12H 047.53</t>
  </si>
  <si>
    <t>2个人 =&gt;4:30 LIANG XIAO MING/HEYONG XUE</t>
  </si>
  <si>
    <t>F</t>
  </si>
  <si>
    <t>TỔNG XE CỬA KHẨU</t>
  </si>
  <si>
    <t>TỔNG PHẢI TRẢ A+B+C+D+E+F</t>
  </si>
  <si>
    <t xml:space="preserve">甲方代表人 Đại Diện Bên A：
（签字盖章 Ký tên và đóng dấu）
</t>
  </si>
  <si>
    <t xml:space="preserve">乙方代表人Đại Diện Bên B：
（签字盖章Ký tên và đóng dấu）
</t>
  </si>
  <si>
    <t>Bảng kê từ ngày 26/6/2026 đến 25/07/2026</t>
  </si>
  <si>
    <t>HÀNH KHÁCH</t>
  </si>
  <si>
    <t>hữu nghị
友谊关</t>
  </si>
  <si>
    <t>14:30_17:30</t>
  </si>
  <si>
    <t>1个人  =&gt;  JIAO YOU JUN</t>
  </si>
  <si>
    <t>5:00_7:30</t>
  </si>
  <si>
    <t xml:space="preserve">4个人 =&gt; WU YU SHI, WANG JIAN YONG, XIANG CHAO, SONG XIN </t>
  </si>
  <si>
    <t>2个人 =&gt;PENG KUN , WU XI YING</t>
  </si>
  <si>
    <t>1个人 =&gt;      JIAO YOU JUN</t>
  </si>
  <si>
    <t>15:30_17:40</t>
  </si>
  <si>
    <t xml:space="preserve">3个人 =&gt; LI BI HUA ,PAN XIAO NA
DENG XIAO RONG </t>
  </si>
  <si>
    <t>4个人 =&gt;  ZUO JIE HONG ,LI YUN FEI
DENG JIAN HUI ,ZHANG JIAN SHENG</t>
  </si>
  <si>
    <r>
      <rPr>
        <b/>
        <sz val="14"/>
        <color theme="1"/>
        <rFont val="Calibri Light"/>
        <charset val="134"/>
        <scheme val="major"/>
      </rPr>
      <t>99</t>
    </r>
    <r>
      <rPr>
        <sz val="14"/>
        <color theme="1"/>
        <rFont val="Calibri Light"/>
        <charset val="134"/>
        <scheme val="major"/>
      </rPr>
      <t>B054.81</t>
    </r>
  </si>
  <si>
    <t>2个人 =&gt; wu liang , zhu qing hoa</t>
  </si>
  <si>
    <t>1个人 =&gt; LIANG XIAO MING</t>
  </si>
  <si>
    <t>12H045.66</t>
  </si>
  <si>
    <t>15:00_ 17:10</t>
  </si>
  <si>
    <t xml:space="preserve">2个人 =&gt; WULIANG / PENG KUN </t>
  </si>
  <si>
    <t>14:30_18:30</t>
  </si>
  <si>
    <t>1个人 =&gt;     JIAO YOU JUN</t>
  </si>
  <si>
    <t>4:30_7:00</t>
  </si>
  <si>
    <t>2个人 =&gt;4:30 LIANG XIA MING/HEYONG XUE</t>
  </si>
  <si>
    <t xml:space="preserve"> </t>
  </si>
  <si>
    <t>TỔNG XE 98F006.58</t>
  </si>
</sst>
</file>

<file path=xl/styles.xml><?xml version="1.0" encoding="utf-8"?>
<styleSheet xmlns="http://schemas.openxmlformats.org/spreadsheetml/2006/main">
  <numFmts count="8">
    <numFmt numFmtId="176" formatCode="_(* #,##0.00_);_(* \(#,##0.00\);_(* &quot;-&quot;??_);_(@_)"/>
    <numFmt numFmtId="177" formatCode="_-* #,##0\ &quot;₫&quot;_-;\-* #,##0\ &quot;₫&quot;_-;_-* &quot;-&quot;\ &quot;₫&quot;_-;_-@_-"/>
    <numFmt numFmtId="178" formatCode="_-* #,##0.00\ &quot;₫&quot;_-;\-* #,##0.00\ &quot;₫&quot;_-;_-* &quot;-&quot;??\ &quot;₫&quot;_-;_-@_-"/>
    <numFmt numFmtId="179" formatCode="_ * #,##0_ ;_ * \-#,##0_ ;_ * &quot;-&quot;_ ;_ @_ "/>
    <numFmt numFmtId="180" formatCode="_ * #,##0.00_ ;_ * \-#,##0.00_ ;_ * &quot;-&quot;??_ ;_ @_ "/>
    <numFmt numFmtId="181" formatCode="[$VND]\ #,##0.00"/>
    <numFmt numFmtId="182" formatCode="_ * #,##0_ ;_ * \-#,##0_ ;_ * &quot;-&quot;??_ ;_ @_ "/>
    <numFmt numFmtId="183" formatCode="_(* #,##0_);_(* \(#,##0\);_(* &quot;-&quot;??_);_(@_)"/>
  </numFmts>
  <fonts count="51">
    <font>
      <sz val="11"/>
      <color theme="1"/>
      <name val="Calibri"/>
      <charset val="163"/>
      <scheme val="minor"/>
    </font>
    <font>
      <sz val="14"/>
      <color theme="1"/>
      <name val="Calibri"/>
      <charset val="163"/>
      <scheme val="minor"/>
    </font>
    <font>
      <sz val="12"/>
      <color theme="1"/>
      <name val="Calibri"/>
      <charset val="163"/>
      <scheme val="minor"/>
    </font>
    <font>
      <sz val="16"/>
      <name val="Calibri Light"/>
      <charset val="134"/>
      <scheme val="major"/>
    </font>
    <font>
      <sz val="12"/>
      <name val="Calibri Light"/>
      <charset val="134"/>
      <scheme val="major"/>
    </font>
    <font>
      <i/>
      <sz val="16"/>
      <name val="Calibri Light"/>
      <charset val="134"/>
      <scheme val="major"/>
    </font>
    <font>
      <i/>
      <sz val="12"/>
      <name val="Calibri Light"/>
      <charset val="134"/>
      <scheme val="major"/>
    </font>
    <font>
      <sz val="20"/>
      <name val="Calibri Light"/>
      <charset val="134"/>
      <scheme val="major"/>
    </font>
    <font>
      <sz val="14"/>
      <color theme="1"/>
      <name val="Calibri Light"/>
      <charset val="134"/>
      <scheme val="major"/>
    </font>
    <font>
      <b/>
      <sz val="14"/>
      <color theme="1"/>
      <name val="Calibri Light"/>
      <charset val="134"/>
      <scheme val="major"/>
    </font>
    <font>
      <b/>
      <sz val="14"/>
      <name val="Calibri Light"/>
      <charset val="134"/>
      <scheme val="major"/>
    </font>
    <font>
      <b/>
      <sz val="15"/>
      <color theme="1"/>
      <name val="Calibri Light"/>
      <charset val="134"/>
      <scheme val="major"/>
    </font>
    <font>
      <sz val="14"/>
      <color theme="1"/>
      <name val="Calibri"/>
      <charset val="134"/>
      <scheme val="minor"/>
    </font>
    <font>
      <sz val="14"/>
      <name val="Times New Roman"/>
      <charset val="134"/>
    </font>
    <font>
      <sz val="12"/>
      <color theme="1"/>
      <name val="Calibri"/>
      <charset val="134"/>
      <scheme val="minor"/>
    </font>
    <font>
      <sz val="12"/>
      <name val="Times New Roman"/>
      <charset val="134"/>
    </font>
    <font>
      <b/>
      <sz val="16"/>
      <color rgb="FF212121"/>
      <name val="Calibri Light"/>
      <charset val="134"/>
      <scheme val="major"/>
    </font>
    <font>
      <b/>
      <sz val="16"/>
      <color theme="1"/>
      <name val="Calibri Light"/>
      <charset val="134"/>
      <scheme val="maj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5"/>
      <name val="Calibri Light"/>
      <charset val="134"/>
      <scheme val="major"/>
    </font>
    <font>
      <b/>
      <sz val="12"/>
      <name val="Calibri Light"/>
      <charset val="134"/>
      <scheme val="major"/>
    </font>
    <font>
      <b/>
      <i/>
      <sz val="15"/>
      <name val="Calibri Light"/>
      <charset val="134"/>
      <scheme val="major"/>
    </font>
    <font>
      <b/>
      <sz val="11"/>
      <name val="Calibri Light"/>
      <charset val="134"/>
      <scheme val="maj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b/>
      <sz val="14"/>
      <color rgb="FF212121"/>
      <name val="Calibri Light"/>
      <charset val="134"/>
      <scheme val="major"/>
    </font>
    <font>
      <b/>
      <sz val="15"/>
      <color theme="1"/>
      <name val="Calibri"/>
      <charset val="134"/>
      <scheme val="minor"/>
    </font>
    <font>
      <sz val="15"/>
      <color theme="1"/>
      <name val="Calibri"/>
      <charset val="163"/>
      <scheme val="minor"/>
    </font>
    <font>
      <b/>
      <sz val="15"/>
      <name val="Times New Roman"/>
      <charset val="134"/>
    </font>
    <font>
      <b/>
      <sz val="14"/>
      <color theme="1"/>
      <name val="Calibri"/>
      <charset val="134"/>
      <scheme val="minor"/>
    </font>
    <font>
      <b/>
      <sz val="11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4">
    <xf numFmtId="0" fontId="0" fillId="0" borderId="0"/>
    <xf numFmtId="0" fontId="32" fillId="26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17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35" fillId="7" borderId="6" applyNumberFormat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18" fillId="12" borderId="8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9" fillId="0" borderId="7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8" fillId="15" borderId="9" applyNumberFormat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25" borderId="12" applyNumberFormat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48" fillId="25" borderId="9" applyNumberFormat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44" fillId="0" borderId="11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181" fontId="18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181" fontId="18" fillId="0" borderId="0">
      <alignment vertical="center"/>
    </xf>
    <xf numFmtId="0" fontId="32" fillId="2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176" fontId="18" fillId="0" borderId="0" applyFont="0" applyFill="0" applyBorder="0" applyAlignment="0" applyProtection="0"/>
    <xf numFmtId="0" fontId="32" fillId="18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176" fontId="18" fillId="0" borderId="0" applyFont="0" applyFill="0" applyBorder="0" applyAlignment="0" applyProtection="0"/>
    <xf numFmtId="181" fontId="18" fillId="0" borderId="0">
      <alignment vertical="center"/>
    </xf>
  </cellStyleXfs>
  <cellXfs count="13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58" fontId="3" fillId="0" borderId="0" xfId="0" applyNumberFormat="1" applyFont="1" applyAlignment="1">
      <alignment vertical="center"/>
    </xf>
    <xf numFmtId="182" fontId="4" fillId="0" borderId="0" xfId="2" applyNumberFormat="1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58" fontId="5" fillId="0" borderId="0" xfId="0" applyNumberFormat="1" applyFont="1" applyAlignment="1">
      <alignment vertical="center"/>
    </xf>
    <xf numFmtId="58" fontId="6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1" xfId="32" applyNumberFormat="1" applyFont="1" applyFill="1" applyBorder="1" applyAlignment="1">
      <alignment horizontal="center" vertical="center" wrapText="1"/>
    </xf>
    <xf numFmtId="181" fontId="8" fillId="3" borderId="1" xfId="32" applyFont="1" applyFill="1" applyBorder="1" applyAlignment="1">
      <alignment horizontal="center" vertical="center" wrapText="1"/>
    </xf>
    <xf numFmtId="182" fontId="8" fillId="3" borderId="1" xfId="2" applyNumberFormat="1" applyFont="1" applyFill="1" applyBorder="1" applyAlignment="1">
      <alignment horizontal="center" vertical="center" wrapText="1"/>
    </xf>
    <xf numFmtId="0" fontId="8" fillId="2" borderId="2" xfId="32" applyNumberFormat="1" applyFont="1" applyFill="1" applyBorder="1" applyAlignment="1">
      <alignment horizontal="center" vertical="center" wrapText="1"/>
    </xf>
    <xf numFmtId="58" fontId="9" fillId="2" borderId="2" xfId="32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81" fontId="10" fillId="2" borderId="1" xfId="53" applyFont="1" applyFill="1" applyBorder="1" applyAlignment="1">
      <alignment horizontal="center" vertical="center" wrapText="1"/>
    </xf>
    <xf numFmtId="182" fontId="9" fillId="2" borderId="1" xfId="2" applyNumberFormat="1" applyFont="1" applyFill="1" applyBorder="1" applyAlignment="1">
      <alignment horizontal="right" vertical="center" wrapText="1"/>
    </xf>
    <xf numFmtId="183" fontId="9" fillId="2" borderId="1" xfId="52" applyNumberFormat="1" applyFont="1" applyFill="1" applyBorder="1" applyAlignment="1">
      <alignment horizontal="center" vertical="center" wrapText="1"/>
    </xf>
    <xf numFmtId="3" fontId="9" fillId="2" borderId="1" xfId="46" applyNumberFormat="1" applyFont="1" applyFill="1" applyBorder="1" applyAlignment="1">
      <alignment horizontal="right" vertical="center" wrapText="1"/>
    </xf>
    <xf numFmtId="181" fontId="9" fillId="2" borderId="1" xfId="37" applyFont="1" applyFill="1" applyBorder="1" applyAlignment="1">
      <alignment horizontal="center" vertical="center" wrapText="1"/>
    </xf>
    <xf numFmtId="58" fontId="9" fillId="2" borderId="1" xfId="32" applyNumberFormat="1" applyFont="1" applyFill="1" applyBorder="1" applyAlignment="1">
      <alignment horizontal="center" vertical="center" wrapText="1"/>
    </xf>
    <xf numFmtId="0" fontId="11" fillId="2" borderId="2" xfId="32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right" vertical="center" wrapText="1"/>
    </xf>
    <xf numFmtId="3" fontId="9" fillId="2" borderId="1" xfId="46" applyNumberFormat="1" applyFont="1" applyFill="1" applyBorder="1" applyAlignment="1">
      <alignment horizontal="center" vertical="center" wrapText="1"/>
    </xf>
    <xf numFmtId="58" fontId="8" fillId="3" borderId="1" xfId="0" applyNumberFormat="1" applyFont="1" applyFill="1" applyBorder="1" applyAlignment="1">
      <alignment horizontal="center" vertical="center" wrapText="1"/>
    </xf>
    <xf numFmtId="3" fontId="8" fillId="3" borderId="1" xfId="52" applyNumberFormat="1" applyFont="1" applyFill="1" applyBorder="1" applyAlignment="1">
      <alignment horizontal="right" vertical="center" wrapText="1"/>
    </xf>
    <xf numFmtId="181" fontId="8" fillId="3" borderId="1" xfId="37" applyFont="1" applyFill="1" applyBorder="1" applyAlignment="1">
      <alignment horizontal="center" vertical="center" wrapText="1"/>
    </xf>
    <xf numFmtId="0" fontId="12" fillId="2" borderId="0" xfId="32" applyNumberFormat="1" applyFont="1" applyFill="1" applyAlignment="1">
      <alignment horizontal="center" vertical="center" wrapText="1"/>
    </xf>
    <xf numFmtId="3" fontId="12" fillId="2" borderId="0" xfId="32" applyNumberFormat="1" applyFont="1" applyFill="1" applyAlignment="1">
      <alignment horizontal="center" vertical="center" wrapText="1"/>
    </xf>
    <xf numFmtId="182" fontId="12" fillId="2" borderId="0" xfId="2" applyNumberFormat="1" applyFont="1" applyFill="1" applyBorder="1" applyAlignment="1">
      <alignment horizontal="right" vertical="center"/>
    </xf>
    <xf numFmtId="183" fontId="1" fillId="2" borderId="0" xfId="46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58" fontId="13" fillId="2" borderId="0" xfId="0" applyNumberFormat="1" applyFont="1" applyFill="1" applyAlignment="1">
      <alignment horizontal="center" vertical="center" wrapText="1"/>
    </xf>
    <xf numFmtId="0" fontId="14" fillId="2" borderId="0" xfId="32" applyNumberFormat="1" applyFont="1" applyFill="1" applyAlignment="1">
      <alignment horizontal="center" vertical="center"/>
    </xf>
    <xf numFmtId="181" fontId="14" fillId="2" borderId="0" xfId="32" applyFont="1" applyFill="1" applyAlignment="1">
      <alignment horizontal="center" vertical="center"/>
    </xf>
    <xf numFmtId="182" fontId="2" fillId="2" borderId="0" xfId="2" applyNumberFormat="1" applyFont="1" applyFill="1" applyAlignment="1">
      <alignment horizontal="right" vertical="center"/>
    </xf>
    <xf numFmtId="183" fontId="2" fillId="2" borderId="0" xfId="46" applyNumberFormat="1" applyFont="1" applyFill="1" applyAlignment="1">
      <alignment horizontal="center" vertical="center"/>
    </xf>
    <xf numFmtId="3" fontId="14" fillId="2" borderId="0" xfId="32" applyNumberFormat="1" applyFont="1" applyFill="1" applyAlignment="1">
      <alignment horizontal="center" vertical="center" wrapText="1"/>
    </xf>
    <xf numFmtId="3" fontId="14" fillId="2" borderId="0" xfId="32" applyNumberFormat="1" applyFont="1" applyFill="1" applyAlignment="1">
      <alignment horizontal="right" vertical="center" wrapText="1"/>
    </xf>
    <xf numFmtId="182" fontId="14" fillId="2" borderId="0" xfId="2" applyNumberFormat="1" applyFont="1" applyFill="1" applyBorder="1" applyAlignment="1">
      <alignment horizontal="center" vertical="center"/>
    </xf>
    <xf numFmtId="180" fontId="2" fillId="2" borderId="0" xfId="2" applyFont="1" applyFill="1" applyBorder="1" applyAlignment="1">
      <alignment horizontal="center" vertical="center"/>
    </xf>
    <xf numFmtId="58" fontId="15" fillId="2" borderId="0" xfId="0" applyNumberFormat="1" applyFont="1" applyFill="1" applyAlignment="1">
      <alignment horizontal="center" vertical="center" wrapText="1"/>
    </xf>
    <xf numFmtId="58" fontId="15" fillId="2" borderId="0" xfId="0" applyNumberFormat="1" applyFont="1" applyFill="1" applyAlignment="1">
      <alignment vertical="center"/>
    </xf>
    <xf numFmtId="180" fontId="15" fillId="2" borderId="0" xfId="2" applyFont="1" applyFill="1" applyAlignment="1">
      <alignment horizontal="center" vertical="center" wrapText="1"/>
    </xf>
    <xf numFmtId="181" fontId="14" fillId="2" borderId="0" xfId="32" applyFont="1" applyFill="1" applyAlignment="1">
      <alignment horizontal="right" vertical="center"/>
    </xf>
    <xf numFmtId="182" fontId="2" fillId="2" borderId="0" xfId="2" applyNumberFormat="1" applyFont="1" applyFill="1" applyAlignment="1">
      <alignment horizontal="center" vertical="center"/>
    </xf>
    <xf numFmtId="180" fontId="2" fillId="2" borderId="0" xfId="2" applyFont="1" applyFill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5" fillId="2" borderId="0" xfId="0" applyFont="1" applyFill="1" applyAlignment="1">
      <alignment horizontal="center" vertical="center"/>
    </xf>
    <xf numFmtId="181" fontId="18" fillId="2" borderId="0" xfId="32" applyFill="1" applyAlignment="1">
      <alignment horizontal="center" vertical="center" wrapText="1"/>
    </xf>
    <xf numFmtId="3" fontId="18" fillId="2" borderId="0" xfId="32" applyNumberFormat="1" applyFill="1" applyAlignment="1">
      <alignment horizontal="center" vertical="center"/>
    </xf>
    <xf numFmtId="3" fontId="19" fillId="2" borderId="0" xfId="32" applyNumberFormat="1" applyFont="1" applyFill="1" applyAlignment="1">
      <alignment horizontal="center" vertical="center"/>
    </xf>
    <xf numFmtId="1" fontId="18" fillId="2" borderId="0" xfId="32" applyNumberFormat="1" applyFill="1" applyAlignment="1">
      <alignment horizontal="center" vertical="center"/>
    </xf>
    <xf numFmtId="0" fontId="18" fillId="2" borderId="0" xfId="32" applyNumberFormat="1" applyFill="1" applyAlignment="1">
      <alignment horizontal="center" vertical="center"/>
    </xf>
    <xf numFmtId="181" fontId="18" fillId="2" borderId="0" xfId="32" applyFill="1" applyAlignment="1">
      <alignment horizontal="center" vertical="center"/>
    </xf>
    <xf numFmtId="182" fontId="0" fillId="2" borderId="0" xfId="2" applyNumberFormat="1" applyFont="1" applyFill="1" applyAlignment="1">
      <alignment horizontal="right" vertical="center"/>
    </xf>
    <xf numFmtId="183" fontId="0" fillId="2" borderId="0" xfId="46" applyNumberFormat="1" applyFont="1" applyFill="1" applyAlignment="1">
      <alignment horizontal="center" vertical="center"/>
    </xf>
    <xf numFmtId="58" fontId="20" fillId="0" borderId="0" xfId="0" applyNumberFormat="1" applyFont="1" applyAlignment="1">
      <alignment horizontal="left" vertical="center"/>
    </xf>
    <xf numFmtId="182" fontId="21" fillId="0" borderId="0" xfId="2" applyNumberFormat="1" applyFont="1" applyFill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58" fontId="22" fillId="0" borderId="0" xfId="0" applyNumberFormat="1" applyFont="1" applyAlignment="1">
      <alignment vertical="center"/>
    </xf>
    <xf numFmtId="182" fontId="23" fillId="0" borderId="0" xfId="2" applyNumberFormat="1" applyFont="1" applyFill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1" fillId="3" borderId="1" xfId="32" applyNumberFormat="1" applyFont="1" applyFill="1" applyBorder="1" applyAlignment="1">
      <alignment horizontal="center" vertical="center" wrapText="1"/>
    </xf>
    <xf numFmtId="181" fontId="11" fillId="3" borderId="1" xfId="32" applyFont="1" applyFill="1" applyBorder="1" applyAlignment="1">
      <alignment horizontal="center" vertical="center" wrapText="1"/>
    </xf>
    <xf numFmtId="3" fontId="24" fillId="3" borderId="1" xfId="0" applyNumberFormat="1" applyFont="1" applyFill="1" applyBorder="1" applyAlignment="1">
      <alignment horizontal="center" vertical="center" wrapText="1"/>
    </xf>
    <xf numFmtId="182" fontId="11" fillId="3" borderId="1" xfId="2" applyNumberFormat="1" applyFont="1" applyFill="1" applyBorder="1" applyAlignment="1">
      <alignment horizontal="center" vertical="center" wrapText="1"/>
    </xf>
    <xf numFmtId="0" fontId="9" fillId="2" borderId="1" xfId="32" applyNumberFormat="1" applyFont="1" applyFill="1" applyBorder="1" applyAlignment="1">
      <alignment horizontal="center" vertical="center" wrapText="1"/>
    </xf>
    <xf numFmtId="58" fontId="9" fillId="2" borderId="1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81" fontId="25" fillId="2" borderId="0" xfId="32" applyFont="1" applyFill="1" applyAlignment="1">
      <alignment horizontal="center" vertical="center" wrapText="1"/>
    </xf>
    <xf numFmtId="3" fontId="25" fillId="2" borderId="0" xfId="32" applyNumberFormat="1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3" borderId="1" xfId="32" applyNumberFormat="1" applyFont="1" applyFill="1" applyBorder="1" applyAlignment="1">
      <alignment horizontal="center" vertical="center" wrapText="1"/>
    </xf>
    <xf numFmtId="183" fontId="11" fillId="3" borderId="1" xfId="52" applyNumberFormat="1" applyFont="1" applyFill="1" applyBorder="1" applyAlignment="1">
      <alignment horizontal="right" vertical="center" wrapText="1"/>
    </xf>
    <xf numFmtId="183" fontId="11" fillId="3" borderId="1" xfId="52" applyNumberFormat="1" applyFont="1" applyFill="1" applyBorder="1" applyAlignment="1">
      <alignment vertical="center" wrapText="1"/>
    </xf>
    <xf numFmtId="0" fontId="11" fillId="2" borderId="1" xfId="32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81" fontId="10" fillId="2" borderId="5" xfId="53" applyFont="1" applyFill="1" applyBorder="1" applyAlignment="1">
      <alignment horizontal="center" vertical="center" wrapText="1"/>
    </xf>
    <xf numFmtId="3" fontId="9" fillId="2" borderId="5" xfId="0" applyNumberFormat="1" applyFont="1" applyFill="1" applyBorder="1" applyAlignment="1">
      <alignment horizontal="center" vertical="center" wrapText="1"/>
    </xf>
    <xf numFmtId="0" fontId="11" fillId="3" borderId="2" xfId="32" applyNumberFormat="1" applyFont="1" applyFill="1" applyBorder="1" applyAlignment="1">
      <alignment horizontal="center" vertical="center" wrapText="1"/>
    </xf>
    <xf numFmtId="0" fontId="11" fillId="3" borderId="4" xfId="32" applyNumberFormat="1" applyFont="1" applyFill="1" applyBorder="1" applyAlignment="1">
      <alignment horizontal="center" vertical="center" wrapText="1"/>
    </xf>
    <xf numFmtId="0" fontId="11" fillId="3" borderId="5" xfId="32" applyNumberFormat="1" applyFont="1" applyFill="1" applyBorder="1" applyAlignment="1">
      <alignment horizontal="center" vertical="center" wrapText="1"/>
    </xf>
    <xf numFmtId="183" fontId="11" fillId="2" borderId="1" xfId="52" applyNumberFormat="1" applyFont="1" applyFill="1" applyBorder="1" applyAlignment="1">
      <alignment horizontal="center" vertical="center" wrapText="1"/>
    </xf>
    <xf numFmtId="183" fontId="11" fillId="3" borderId="1" xfId="52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58" fontId="11" fillId="3" borderId="1" xfId="0" applyNumberFormat="1" applyFont="1" applyFill="1" applyBorder="1" applyAlignment="1">
      <alignment horizontal="center" vertical="center" wrapText="1"/>
    </xf>
    <xf numFmtId="3" fontId="11" fillId="3" borderId="1" xfId="52" applyNumberFormat="1" applyFont="1" applyFill="1" applyBorder="1" applyAlignment="1">
      <alignment horizontal="right" vertical="center" wrapText="1"/>
    </xf>
    <xf numFmtId="181" fontId="11" fillId="3" borderId="1" xfId="37" applyFont="1" applyFill="1" applyBorder="1" applyAlignment="1">
      <alignment horizontal="center" vertical="center" wrapText="1"/>
    </xf>
    <xf numFmtId="181" fontId="11" fillId="2" borderId="1" xfId="37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58" fontId="9" fillId="3" borderId="2" xfId="32" applyNumberFormat="1" applyFont="1" applyFill="1" applyBorder="1" applyAlignment="1">
      <alignment horizontal="center" vertical="center" wrapText="1"/>
    </xf>
    <xf numFmtId="58" fontId="9" fillId="3" borderId="4" xfId="32" applyNumberFormat="1" applyFont="1" applyFill="1" applyBorder="1" applyAlignment="1">
      <alignment horizontal="center" vertical="center" wrapText="1"/>
    </xf>
    <xf numFmtId="58" fontId="9" fillId="3" borderId="5" xfId="32" applyNumberFormat="1" applyFont="1" applyFill="1" applyBorder="1" applyAlignment="1">
      <alignment horizontal="center" vertical="center" wrapText="1"/>
    </xf>
    <xf numFmtId="181" fontId="10" fillId="3" borderId="1" xfId="53" applyFont="1" applyFill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center" vertical="center" wrapText="1"/>
    </xf>
    <xf numFmtId="3" fontId="9" fillId="3" borderId="1" xfId="46" applyNumberFormat="1" applyFont="1" applyFill="1" applyBorder="1" applyAlignment="1">
      <alignment horizontal="right" vertical="center" wrapText="1"/>
    </xf>
    <xf numFmtId="182" fontId="9" fillId="2" borderId="1" xfId="2" applyNumberFormat="1" applyFont="1" applyFill="1" applyBorder="1" applyAlignment="1">
      <alignment horizontal="center" vertical="center" wrapText="1"/>
    </xf>
    <xf numFmtId="183" fontId="11" fillId="3" borderId="1" xfId="32" applyNumberFormat="1" applyFont="1" applyFill="1" applyBorder="1" applyAlignment="1">
      <alignment vertical="center" wrapText="1"/>
    </xf>
    <xf numFmtId="0" fontId="11" fillId="3" borderId="1" xfId="32" applyNumberFormat="1" applyFont="1" applyFill="1" applyBorder="1" applyAlignment="1">
      <alignment vertical="center" wrapText="1"/>
    </xf>
    <xf numFmtId="0" fontId="27" fillId="2" borderId="0" xfId="32" applyNumberFormat="1" applyFont="1" applyFill="1" applyAlignment="1">
      <alignment horizontal="center" vertical="center" wrapText="1"/>
    </xf>
    <xf numFmtId="3" fontId="27" fillId="2" borderId="0" xfId="32" applyNumberFormat="1" applyFont="1" applyFill="1" applyAlignment="1">
      <alignment horizontal="center" vertical="center" wrapText="1"/>
    </xf>
    <xf numFmtId="182" fontId="27" fillId="2" borderId="0" xfId="2" applyNumberFormat="1" applyFont="1" applyFill="1" applyBorder="1" applyAlignment="1">
      <alignment horizontal="right" vertical="center"/>
    </xf>
    <xf numFmtId="183" fontId="28" fillId="2" borderId="0" xfId="46" applyNumberFormat="1" applyFont="1" applyFill="1" applyBorder="1" applyAlignment="1">
      <alignment horizontal="center" vertical="center"/>
    </xf>
    <xf numFmtId="0" fontId="29" fillId="2" borderId="0" xfId="0" applyFont="1" applyFill="1" applyAlignment="1">
      <alignment vertical="center"/>
    </xf>
    <xf numFmtId="58" fontId="29" fillId="2" borderId="0" xfId="0" applyNumberFormat="1" applyFont="1" applyFill="1" applyAlignment="1">
      <alignment horizontal="center" vertical="center" wrapText="1"/>
    </xf>
    <xf numFmtId="3" fontId="19" fillId="2" borderId="0" xfId="32" applyNumberFormat="1" applyFont="1" applyFill="1" applyAlignment="1">
      <alignment horizontal="center" vertical="center" wrapText="1"/>
    </xf>
    <xf numFmtId="3" fontId="19" fillId="2" borderId="0" xfId="32" applyNumberFormat="1" applyFont="1" applyFill="1" applyAlignment="1">
      <alignment horizontal="right" vertical="center" wrapText="1"/>
    </xf>
    <xf numFmtId="182" fontId="30" fillId="2" borderId="0" xfId="2" applyNumberFormat="1" applyFont="1" applyFill="1" applyBorder="1" applyAlignment="1">
      <alignment horizontal="center" vertical="center"/>
    </xf>
    <xf numFmtId="58" fontId="31" fillId="2" borderId="0" xfId="0" applyNumberFormat="1" applyFont="1" applyFill="1" applyAlignment="1">
      <alignment horizontal="center" vertical="center" wrapText="1"/>
    </xf>
    <xf numFmtId="58" fontId="31" fillId="2" borderId="0" xfId="0" applyNumberFormat="1" applyFont="1" applyFill="1" applyAlignment="1">
      <alignment vertical="center"/>
    </xf>
    <xf numFmtId="181" fontId="18" fillId="2" borderId="0" xfId="32" applyFill="1" applyAlignment="1">
      <alignment horizontal="right" vertical="center"/>
    </xf>
    <xf numFmtId="182" fontId="0" fillId="2" borderId="0" xfId="2" applyNumberFormat="1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80" fontId="0" fillId="2" borderId="0" xfId="2" applyFont="1" applyFill="1" applyBorder="1" applyAlignment="1">
      <alignment horizontal="center" vertical="center"/>
    </xf>
    <xf numFmtId="180" fontId="31" fillId="2" borderId="0" xfId="2" applyFont="1" applyFill="1" applyAlignment="1">
      <alignment horizontal="center" vertical="center" wrapText="1"/>
    </xf>
    <xf numFmtId="180" fontId="0" fillId="2" borderId="0" xfId="2" applyFont="1" applyFill="1" applyAlignment="1">
      <alignment horizontal="center" vertical="center"/>
    </xf>
  </cellXfs>
  <cellStyles count="54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Normal 3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Comma 2 2" xfId="46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Comma 3" xfId="52"/>
    <cellStyle name="Normal 2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1\Downloads\L&#432;&#417;ng%20nh&#225;p%20T4.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dmin\My%20Documents\Downloads\L&#432;&#417;ng%20th&#225;ng%2010.201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C.01,2015"/>
      <sheetName val="tt.01,2015"/>
      <sheetName val="DSCNV"/>
      <sheetName val="luong Ok .2015"/>
      <sheetName val="DO LUONG TOTAL"/>
      <sheetName val="PLuong"/>
      <sheetName val="PCC"/>
      <sheetName val="Sheet1"/>
      <sheetName val="DO LUONGVIETCOMBANK (2)"/>
      <sheetName val="DO LUONGVIETCOMBANK"/>
      <sheetName val="DO LUONG SHINHANBANK"/>
      <sheetName val="Sheet2"/>
      <sheetName val="DO LUONG TM"/>
      <sheetName val="DO LUONG TM (2)"/>
      <sheetName val="刷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ST10"/>
      <sheetName val="CCT10"/>
      <sheetName val="TCT10"/>
      <sheetName val="GHI CHÚ"/>
      <sheetName val="Cần có"/>
      <sheetName val="Bang Luong"/>
      <sheetName val="Phieu luong"/>
      <sheetName val="DS thieu PC Gia dinh T09"/>
      <sheetName val="Thai san"/>
      <sheetName val="Om Dau"/>
      <sheetName val="Chocopie"/>
      <sheetName val="Doc ha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65"/>
  <sheetViews>
    <sheetView tabSelected="1" view="pageBreakPreview" zoomScaleNormal="70" zoomScaleSheetLayoutView="100" workbookViewId="0">
      <selection activeCell="E134" sqref="E134"/>
    </sheetView>
  </sheetViews>
  <sheetFormatPr defaultColWidth="9" defaultRowHeight="15"/>
  <cols>
    <col min="1" max="1" width="11.5714285714286" style="63" customWidth="1"/>
    <col min="2" max="2" width="20.5714285714286" style="64" customWidth="1"/>
    <col min="3" max="3" width="19.8571428571429" style="64" customWidth="1"/>
    <col min="4" max="4" width="43.1428571428571" style="64" customWidth="1"/>
    <col min="5" max="5" width="15.7142857142857" style="64" customWidth="1"/>
    <col min="6" max="6" width="14.7142857142857" style="64" customWidth="1"/>
    <col min="7" max="7" width="22.2857142857143" style="65" customWidth="1"/>
    <col min="8" max="8" width="18.8571428571429" style="66" customWidth="1"/>
    <col min="9" max="9" width="62.5714285714286" style="66" customWidth="1"/>
    <col min="10" max="14" width="9" style="64"/>
    <col min="15" max="15" width="9" style="64" customWidth="1"/>
    <col min="16" max="16384" width="9" style="64"/>
  </cols>
  <sheetData>
    <row r="1" s="58" customFormat="1" ht="19.5" spans="1:10">
      <c r="A1" s="67" t="s">
        <v>0</v>
      </c>
      <c r="B1" s="67"/>
      <c r="C1" s="67"/>
      <c r="D1" s="67"/>
      <c r="E1" s="67"/>
      <c r="F1" s="67"/>
      <c r="G1" s="68"/>
      <c r="H1" s="69"/>
      <c r="I1" s="69"/>
      <c r="J1" s="82"/>
    </row>
    <row r="2" s="58" customFormat="1" ht="19.5" spans="1:10">
      <c r="A2" s="70" t="s">
        <v>1</v>
      </c>
      <c r="B2" s="71"/>
      <c r="C2" s="71"/>
      <c r="D2" s="71"/>
      <c r="E2" s="71"/>
      <c r="F2" s="71"/>
      <c r="G2" s="72"/>
      <c r="H2" s="69"/>
      <c r="I2" s="69"/>
      <c r="J2" s="82"/>
    </row>
    <row r="3" s="58" customFormat="1" ht="19.5" spans="1:10">
      <c r="A3" s="70" t="s">
        <v>2</v>
      </c>
      <c r="B3" s="71"/>
      <c r="C3" s="71"/>
      <c r="D3" s="71"/>
      <c r="E3" s="71"/>
      <c r="F3" s="71"/>
      <c r="G3" s="72"/>
      <c r="H3" s="69"/>
      <c r="I3" s="69"/>
      <c r="J3" s="82"/>
    </row>
    <row r="4" s="58" customFormat="1" ht="39.75" customHeight="1" spans="1:10">
      <c r="A4" s="73" t="s">
        <v>3</v>
      </c>
      <c r="B4" s="73"/>
      <c r="C4" s="73"/>
      <c r="D4" s="73"/>
      <c r="E4" s="73"/>
      <c r="F4" s="73"/>
      <c r="G4" s="73"/>
      <c r="H4" s="73"/>
      <c r="I4" s="73"/>
      <c r="J4" s="82"/>
    </row>
    <row r="5" s="58" customFormat="1" ht="43.5" customHeight="1" spans="1:10">
      <c r="A5" s="73" t="s">
        <v>4</v>
      </c>
      <c r="B5" s="73"/>
      <c r="C5" s="73"/>
      <c r="D5" s="73"/>
      <c r="E5" s="73"/>
      <c r="F5" s="73"/>
      <c r="G5" s="73"/>
      <c r="H5" s="73"/>
      <c r="I5" s="73"/>
      <c r="J5" s="82"/>
    </row>
    <row r="6" s="58" customFormat="1" ht="33" customHeight="1" spans="1:10">
      <c r="A6" s="74" t="s">
        <v>5</v>
      </c>
      <c r="B6" s="74"/>
      <c r="C6" s="74"/>
      <c r="D6" s="74"/>
      <c r="E6" s="74"/>
      <c r="F6" s="74"/>
      <c r="G6" s="74"/>
      <c r="H6" s="74"/>
      <c r="I6" s="74"/>
      <c r="J6" s="82"/>
    </row>
    <row r="7" s="58" customFormat="1" ht="27" customHeight="1" spans="1:10">
      <c r="A7" s="73" t="s">
        <v>6</v>
      </c>
      <c r="B7" s="73"/>
      <c r="C7" s="73"/>
      <c r="D7" s="73"/>
      <c r="E7" s="73"/>
      <c r="F7" s="73"/>
      <c r="G7" s="73"/>
      <c r="H7" s="73"/>
      <c r="I7" s="73"/>
      <c r="J7" s="82"/>
    </row>
    <row r="8" s="59" customFormat="1" ht="68.25" customHeight="1" spans="1:10">
      <c r="A8" s="75" t="s">
        <v>7</v>
      </c>
      <c r="B8" s="76" t="s">
        <v>8</v>
      </c>
      <c r="C8" s="76" t="s">
        <v>9</v>
      </c>
      <c r="D8" s="76" t="s">
        <v>10</v>
      </c>
      <c r="E8" s="76" t="s">
        <v>11</v>
      </c>
      <c r="F8" s="77" t="s">
        <v>12</v>
      </c>
      <c r="G8" s="78" t="s">
        <v>13</v>
      </c>
      <c r="H8" s="76" t="s">
        <v>14</v>
      </c>
      <c r="I8" s="76" t="s">
        <v>15</v>
      </c>
      <c r="J8" s="83"/>
    </row>
    <row r="9" s="60" customFormat="1" ht="42" customHeight="1" spans="1:10">
      <c r="A9" s="79">
        <v>1</v>
      </c>
      <c r="B9" s="80">
        <v>46199</v>
      </c>
      <c r="C9" s="19" t="s">
        <v>16</v>
      </c>
      <c r="D9" s="19" t="s">
        <v>17</v>
      </c>
      <c r="E9" s="20" t="s">
        <v>18</v>
      </c>
      <c r="F9" s="81"/>
      <c r="G9" s="23">
        <v>130000</v>
      </c>
      <c r="H9" s="19" t="s">
        <v>19</v>
      </c>
      <c r="I9" s="19" t="s">
        <v>20</v>
      </c>
      <c r="J9" s="84">
        <v>1</v>
      </c>
    </row>
    <row r="10" s="60" customFormat="1" ht="42" customHeight="1" spans="1:10">
      <c r="A10" s="79">
        <v>2</v>
      </c>
      <c r="B10" s="80">
        <v>46199</v>
      </c>
      <c r="C10" s="19" t="s">
        <v>21</v>
      </c>
      <c r="D10" s="19" t="s">
        <v>22</v>
      </c>
      <c r="E10" s="20" t="s">
        <v>18</v>
      </c>
      <c r="F10" s="81"/>
      <c r="G10" s="23">
        <v>130000</v>
      </c>
      <c r="H10" s="19" t="s">
        <v>19</v>
      </c>
      <c r="I10" s="19" t="s">
        <v>23</v>
      </c>
      <c r="J10" s="84"/>
    </row>
    <row r="11" s="60" customFormat="1" ht="42" customHeight="1" spans="1:10">
      <c r="A11" s="79">
        <v>3</v>
      </c>
      <c r="B11" s="80">
        <v>46200</v>
      </c>
      <c r="C11" s="19" t="s">
        <v>16</v>
      </c>
      <c r="D11" s="19" t="s">
        <v>17</v>
      </c>
      <c r="E11" s="20" t="s">
        <v>18</v>
      </c>
      <c r="F11" s="81"/>
      <c r="G11" s="23">
        <v>130000</v>
      </c>
      <c r="H11" s="19" t="s">
        <v>19</v>
      </c>
      <c r="I11" s="19" t="s">
        <v>24</v>
      </c>
      <c r="J11" s="84"/>
    </row>
    <row r="12" s="60" customFormat="1" ht="42" customHeight="1" spans="1:10">
      <c r="A12" s="79">
        <v>4</v>
      </c>
      <c r="B12" s="80">
        <v>46200</v>
      </c>
      <c r="C12" s="19" t="s">
        <v>21</v>
      </c>
      <c r="D12" s="19" t="s">
        <v>22</v>
      </c>
      <c r="E12" s="20" t="s">
        <v>18</v>
      </c>
      <c r="F12" s="81"/>
      <c r="G12" s="23">
        <v>130000</v>
      </c>
      <c r="H12" s="19" t="s">
        <v>19</v>
      </c>
      <c r="I12" s="19" t="s">
        <v>25</v>
      </c>
      <c r="J12" s="84"/>
    </row>
    <row r="13" s="60" customFormat="1" ht="42" customHeight="1" spans="1:10">
      <c r="A13" s="79">
        <v>5</v>
      </c>
      <c r="B13" s="80">
        <v>46202</v>
      </c>
      <c r="C13" s="19" t="s">
        <v>16</v>
      </c>
      <c r="D13" s="19" t="s">
        <v>17</v>
      </c>
      <c r="E13" s="20" t="s">
        <v>18</v>
      </c>
      <c r="F13" s="81"/>
      <c r="G13" s="23">
        <v>130000</v>
      </c>
      <c r="H13" s="19" t="s">
        <v>19</v>
      </c>
      <c r="I13" s="19" t="s">
        <v>20</v>
      </c>
      <c r="J13" s="84"/>
    </row>
    <row r="14" s="60" customFormat="1" ht="42" customHeight="1" spans="1:10">
      <c r="A14" s="79">
        <v>6</v>
      </c>
      <c r="B14" s="80">
        <v>46202</v>
      </c>
      <c r="C14" s="19" t="s">
        <v>21</v>
      </c>
      <c r="D14" s="19" t="s">
        <v>26</v>
      </c>
      <c r="E14" s="20" t="s">
        <v>27</v>
      </c>
      <c r="F14" s="81"/>
      <c r="G14" s="23">
        <v>100000</v>
      </c>
      <c r="H14" s="19" t="s">
        <v>19</v>
      </c>
      <c r="I14" s="19" t="s">
        <v>28</v>
      </c>
      <c r="J14" s="84"/>
    </row>
    <row r="15" s="60" customFormat="1" ht="42" customHeight="1" spans="1:10">
      <c r="A15" s="79">
        <v>7</v>
      </c>
      <c r="B15" s="80">
        <v>46203</v>
      </c>
      <c r="C15" s="19" t="s">
        <v>16</v>
      </c>
      <c r="D15" s="19" t="s">
        <v>17</v>
      </c>
      <c r="E15" s="20" t="s">
        <v>18</v>
      </c>
      <c r="F15" s="81"/>
      <c r="G15" s="23">
        <v>130000</v>
      </c>
      <c r="H15" s="19" t="s">
        <v>19</v>
      </c>
      <c r="I15" s="19" t="s">
        <v>20</v>
      </c>
      <c r="J15" s="84"/>
    </row>
    <row r="16" s="60" customFormat="1" ht="42" customHeight="1" spans="1:10">
      <c r="A16" s="79">
        <v>8</v>
      </c>
      <c r="B16" s="80">
        <v>46203</v>
      </c>
      <c r="C16" s="19" t="s">
        <v>21</v>
      </c>
      <c r="D16" s="19" t="s">
        <v>29</v>
      </c>
      <c r="E16" s="20" t="s">
        <v>18</v>
      </c>
      <c r="F16" s="81"/>
      <c r="G16" s="23">
        <v>130000</v>
      </c>
      <c r="H16" s="19" t="s">
        <v>19</v>
      </c>
      <c r="I16" s="19" t="s">
        <v>30</v>
      </c>
      <c r="J16" s="84"/>
    </row>
    <row r="17" s="60" customFormat="1" ht="42" customHeight="1" spans="1:10">
      <c r="A17" s="79">
        <v>9</v>
      </c>
      <c r="B17" s="80">
        <v>46204</v>
      </c>
      <c r="C17" s="19" t="s">
        <v>16</v>
      </c>
      <c r="D17" s="19" t="s">
        <v>17</v>
      </c>
      <c r="E17" s="20" t="s">
        <v>18</v>
      </c>
      <c r="F17" s="81"/>
      <c r="G17" s="23">
        <v>130000</v>
      </c>
      <c r="H17" s="19" t="s">
        <v>19</v>
      </c>
      <c r="I17" s="19" t="s">
        <v>20</v>
      </c>
      <c r="J17" s="84"/>
    </row>
    <row r="18" s="60" customFormat="1" ht="42" customHeight="1" spans="1:10">
      <c r="A18" s="79">
        <v>10</v>
      </c>
      <c r="B18" s="80">
        <v>46205</v>
      </c>
      <c r="C18" s="19" t="s">
        <v>16</v>
      </c>
      <c r="D18" s="19" t="s">
        <v>17</v>
      </c>
      <c r="E18" s="20" t="s">
        <v>18</v>
      </c>
      <c r="F18" s="81"/>
      <c r="G18" s="23">
        <v>130000</v>
      </c>
      <c r="H18" s="19" t="s">
        <v>19</v>
      </c>
      <c r="I18" s="19" t="s">
        <v>20</v>
      </c>
      <c r="J18" s="84"/>
    </row>
    <row r="19" s="60" customFormat="1" ht="42" customHeight="1" spans="1:10">
      <c r="A19" s="79">
        <v>11</v>
      </c>
      <c r="B19" s="80">
        <v>46205</v>
      </c>
      <c r="C19" s="19" t="s">
        <v>16</v>
      </c>
      <c r="D19" s="19" t="s">
        <v>17</v>
      </c>
      <c r="E19" s="20" t="s">
        <v>27</v>
      </c>
      <c r="F19" s="81"/>
      <c r="G19" s="23">
        <v>100000</v>
      </c>
      <c r="H19" s="19" t="s">
        <v>31</v>
      </c>
      <c r="I19" s="19" t="s">
        <v>32</v>
      </c>
      <c r="J19" s="84"/>
    </row>
    <row r="20" s="60" customFormat="1" ht="42" customHeight="1" spans="1:10">
      <c r="A20" s="79">
        <v>12</v>
      </c>
      <c r="B20" s="80">
        <v>46206</v>
      </c>
      <c r="C20" s="19" t="s">
        <v>16</v>
      </c>
      <c r="D20" s="19" t="s">
        <v>17</v>
      </c>
      <c r="E20" s="20" t="s">
        <v>18</v>
      </c>
      <c r="F20" s="81"/>
      <c r="G20" s="23">
        <v>130000</v>
      </c>
      <c r="H20" s="19" t="s">
        <v>19</v>
      </c>
      <c r="I20" s="19" t="s">
        <v>20</v>
      </c>
      <c r="J20" s="84"/>
    </row>
    <row r="21" s="60" customFormat="1" ht="42" customHeight="1" spans="1:10">
      <c r="A21" s="79">
        <v>13</v>
      </c>
      <c r="B21" s="80">
        <v>46206</v>
      </c>
      <c r="C21" s="19" t="s">
        <v>33</v>
      </c>
      <c r="D21" s="19" t="s">
        <v>34</v>
      </c>
      <c r="E21" s="20" t="s">
        <v>27</v>
      </c>
      <c r="F21" s="81"/>
      <c r="G21" s="23">
        <v>380000</v>
      </c>
      <c r="H21" s="19" t="s">
        <v>19</v>
      </c>
      <c r="I21" s="19" t="s">
        <v>35</v>
      </c>
      <c r="J21" s="84"/>
    </row>
    <row r="22" s="60" customFormat="1" ht="42" customHeight="1" spans="1:10">
      <c r="A22" s="79">
        <v>14</v>
      </c>
      <c r="B22" s="80">
        <v>46206</v>
      </c>
      <c r="C22" s="19" t="s">
        <v>21</v>
      </c>
      <c r="D22" s="19" t="s">
        <v>36</v>
      </c>
      <c r="E22" s="20" t="s">
        <v>27</v>
      </c>
      <c r="F22" s="81"/>
      <c r="G22" s="23">
        <v>100000</v>
      </c>
      <c r="H22" s="19" t="s">
        <v>19</v>
      </c>
      <c r="I22" s="19" t="s">
        <v>28</v>
      </c>
      <c r="J22" s="84"/>
    </row>
    <row r="23" s="60" customFormat="1" ht="42" customHeight="1" spans="1:10">
      <c r="A23" s="79">
        <v>15</v>
      </c>
      <c r="B23" s="80">
        <v>46207</v>
      </c>
      <c r="C23" s="19" t="s">
        <v>16</v>
      </c>
      <c r="D23" s="19" t="s">
        <v>17</v>
      </c>
      <c r="E23" s="20" t="s">
        <v>18</v>
      </c>
      <c r="F23" s="81"/>
      <c r="G23" s="23">
        <v>130000</v>
      </c>
      <c r="H23" s="19" t="s">
        <v>19</v>
      </c>
      <c r="I23" s="19" t="s">
        <v>20</v>
      </c>
      <c r="J23" s="84"/>
    </row>
    <row r="24" s="60" customFormat="1" ht="42" customHeight="1" spans="1:10">
      <c r="A24" s="79">
        <v>16</v>
      </c>
      <c r="B24" s="80">
        <v>46208</v>
      </c>
      <c r="C24" s="19" t="s">
        <v>37</v>
      </c>
      <c r="D24" s="19" t="s">
        <v>38</v>
      </c>
      <c r="E24" s="20" t="s">
        <v>27</v>
      </c>
      <c r="F24" s="81"/>
      <c r="G24" s="23">
        <v>650000</v>
      </c>
      <c r="H24" s="19" t="s">
        <v>19</v>
      </c>
      <c r="I24" s="19" t="s">
        <v>39</v>
      </c>
      <c r="J24" s="84"/>
    </row>
    <row r="25" s="60" customFormat="1" ht="42" customHeight="1" spans="1:10">
      <c r="A25" s="79">
        <v>17</v>
      </c>
      <c r="B25" s="80">
        <v>46209</v>
      </c>
      <c r="C25" s="19" t="s">
        <v>16</v>
      </c>
      <c r="D25" s="19" t="s">
        <v>17</v>
      </c>
      <c r="E25" s="20" t="s">
        <v>18</v>
      </c>
      <c r="F25" s="81"/>
      <c r="G25" s="23">
        <v>130000</v>
      </c>
      <c r="H25" s="19" t="s">
        <v>19</v>
      </c>
      <c r="I25" s="80" t="s">
        <v>20</v>
      </c>
      <c r="J25" s="84"/>
    </row>
    <row r="26" s="60" customFormat="1" ht="42" customHeight="1" spans="1:10">
      <c r="A26" s="79">
        <v>18</v>
      </c>
      <c r="B26" s="80">
        <v>46209</v>
      </c>
      <c r="C26" s="19" t="s">
        <v>21</v>
      </c>
      <c r="D26" s="19" t="s">
        <v>29</v>
      </c>
      <c r="E26" s="20" t="s">
        <v>18</v>
      </c>
      <c r="F26" s="81"/>
      <c r="G26" s="23">
        <v>130000</v>
      </c>
      <c r="H26" s="19" t="s">
        <v>19</v>
      </c>
      <c r="I26" s="80" t="s">
        <v>23</v>
      </c>
      <c r="J26" s="84"/>
    </row>
    <row r="27" s="60" customFormat="1" ht="42" customHeight="1" spans="1:10">
      <c r="A27" s="79">
        <v>19</v>
      </c>
      <c r="B27" s="80">
        <v>46210</v>
      </c>
      <c r="C27" s="19" t="s">
        <v>16</v>
      </c>
      <c r="D27" s="19" t="s">
        <v>17</v>
      </c>
      <c r="E27" s="20" t="s">
        <v>18</v>
      </c>
      <c r="F27" s="81"/>
      <c r="G27" s="23">
        <v>130000</v>
      </c>
      <c r="H27" s="19" t="s">
        <v>19</v>
      </c>
      <c r="I27" s="80" t="s">
        <v>20</v>
      </c>
      <c r="J27" s="84"/>
    </row>
    <row r="28" s="60" customFormat="1" ht="42" customHeight="1" spans="1:10">
      <c r="A28" s="79">
        <v>20</v>
      </c>
      <c r="B28" s="80">
        <v>46210</v>
      </c>
      <c r="C28" s="19" t="s">
        <v>21</v>
      </c>
      <c r="D28" s="19" t="s">
        <v>29</v>
      </c>
      <c r="E28" s="20" t="s">
        <v>18</v>
      </c>
      <c r="F28" s="81"/>
      <c r="G28" s="23">
        <v>130000</v>
      </c>
      <c r="H28" s="19" t="s">
        <v>19</v>
      </c>
      <c r="I28" s="80" t="s">
        <v>30</v>
      </c>
      <c r="J28" s="84"/>
    </row>
    <row r="29" s="60" customFormat="1" ht="42" customHeight="1" spans="1:10">
      <c r="A29" s="79">
        <v>21</v>
      </c>
      <c r="B29" s="80">
        <v>46211</v>
      </c>
      <c r="C29" s="19" t="s">
        <v>16</v>
      </c>
      <c r="D29" s="19" t="s">
        <v>17</v>
      </c>
      <c r="E29" s="20" t="s">
        <v>18</v>
      </c>
      <c r="F29" s="81"/>
      <c r="G29" s="23">
        <v>130000</v>
      </c>
      <c r="H29" s="19" t="s">
        <v>19</v>
      </c>
      <c r="I29" s="80" t="s">
        <v>20</v>
      </c>
      <c r="J29" s="84"/>
    </row>
    <row r="30" s="60" customFormat="1" ht="42" customHeight="1" spans="1:10">
      <c r="A30" s="79">
        <v>22</v>
      </c>
      <c r="B30" s="80">
        <v>46211</v>
      </c>
      <c r="C30" s="19" t="s">
        <v>21</v>
      </c>
      <c r="D30" s="19" t="s">
        <v>29</v>
      </c>
      <c r="E30" s="20" t="s">
        <v>18</v>
      </c>
      <c r="F30" s="81"/>
      <c r="G30" s="23">
        <v>130000</v>
      </c>
      <c r="H30" s="19" t="s">
        <v>19</v>
      </c>
      <c r="I30" s="80" t="s">
        <v>30</v>
      </c>
      <c r="J30" s="84"/>
    </row>
    <row r="31" s="60" customFormat="1" ht="42" customHeight="1" spans="1:10">
      <c r="A31" s="79">
        <v>23</v>
      </c>
      <c r="B31" s="80">
        <v>46211</v>
      </c>
      <c r="C31" s="19" t="s">
        <v>21</v>
      </c>
      <c r="D31" s="19" t="s">
        <v>29</v>
      </c>
      <c r="E31" s="20" t="s">
        <v>18</v>
      </c>
      <c r="F31" s="81"/>
      <c r="G31" s="23">
        <v>130000</v>
      </c>
      <c r="H31" s="19" t="s">
        <v>40</v>
      </c>
      <c r="I31" s="80" t="s">
        <v>30</v>
      </c>
      <c r="J31" s="84"/>
    </row>
    <row r="32" s="60" customFormat="1" ht="42" customHeight="1" spans="1:10">
      <c r="A32" s="79">
        <v>24</v>
      </c>
      <c r="B32" s="80">
        <v>46212</v>
      </c>
      <c r="C32" s="19" t="s">
        <v>16</v>
      </c>
      <c r="D32" s="19" t="s">
        <v>17</v>
      </c>
      <c r="E32" s="20" t="s">
        <v>18</v>
      </c>
      <c r="F32" s="81"/>
      <c r="G32" s="23">
        <v>130000</v>
      </c>
      <c r="H32" s="19" t="s">
        <v>19</v>
      </c>
      <c r="I32" s="80" t="s">
        <v>20</v>
      </c>
      <c r="J32" s="84"/>
    </row>
    <row r="33" s="60" customFormat="1" ht="42" customHeight="1" spans="1:10">
      <c r="A33" s="79">
        <v>25</v>
      </c>
      <c r="B33" s="80">
        <v>46212</v>
      </c>
      <c r="C33" s="19" t="s">
        <v>21</v>
      </c>
      <c r="D33" s="19" t="s">
        <v>41</v>
      </c>
      <c r="E33" s="20" t="s">
        <v>18</v>
      </c>
      <c r="F33" s="81"/>
      <c r="G33" s="23">
        <v>130000</v>
      </c>
      <c r="H33" s="19" t="s">
        <v>19</v>
      </c>
      <c r="I33" s="19" t="s">
        <v>30</v>
      </c>
      <c r="J33" s="84"/>
    </row>
    <row r="34" s="60" customFormat="1" ht="42" customHeight="1" spans="1:10">
      <c r="A34" s="79">
        <v>26</v>
      </c>
      <c r="B34" s="80">
        <v>46213</v>
      </c>
      <c r="C34" s="19" t="s">
        <v>16</v>
      </c>
      <c r="D34" s="19" t="s">
        <v>17</v>
      </c>
      <c r="E34" s="20" t="s">
        <v>18</v>
      </c>
      <c r="F34" s="81"/>
      <c r="G34" s="23">
        <v>130000</v>
      </c>
      <c r="H34" s="19" t="s">
        <v>19</v>
      </c>
      <c r="I34" s="80" t="s">
        <v>20</v>
      </c>
      <c r="J34" s="84"/>
    </row>
    <row r="35" s="60" customFormat="1" ht="42" customHeight="1" spans="1:10">
      <c r="A35" s="79">
        <v>27</v>
      </c>
      <c r="B35" s="80">
        <v>46213</v>
      </c>
      <c r="C35" s="19" t="s">
        <v>16</v>
      </c>
      <c r="D35" s="19" t="s">
        <v>17</v>
      </c>
      <c r="E35" s="20" t="s">
        <v>27</v>
      </c>
      <c r="F35" s="81"/>
      <c r="G35" s="23">
        <v>100000</v>
      </c>
      <c r="H35" s="19" t="s">
        <v>31</v>
      </c>
      <c r="I35" s="19" t="s">
        <v>32</v>
      </c>
      <c r="J35" s="84"/>
    </row>
    <row r="36" s="60" customFormat="1" ht="42" customHeight="1" spans="1:10">
      <c r="A36" s="79">
        <v>28</v>
      </c>
      <c r="B36" s="80">
        <v>46213</v>
      </c>
      <c r="C36" s="19" t="s">
        <v>42</v>
      </c>
      <c r="D36" s="19" t="s">
        <v>43</v>
      </c>
      <c r="E36" s="20" t="s">
        <v>18</v>
      </c>
      <c r="F36" s="81"/>
      <c r="G36" s="23">
        <v>100000</v>
      </c>
      <c r="H36" s="19" t="s">
        <v>19</v>
      </c>
      <c r="I36" s="19" t="s">
        <v>44</v>
      </c>
      <c r="J36" s="84"/>
    </row>
    <row r="37" s="60" customFormat="1" ht="42" customHeight="1" spans="1:10">
      <c r="A37" s="79">
        <v>29</v>
      </c>
      <c r="B37" s="80">
        <v>46213</v>
      </c>
      <c r="C37" s="19" t="s">
        <v>45</v>
      </c>
      <c r="D37" s="19" t="s">
        <v>43</v>
      </c>
      <c r="E37" s="20" t="s">
        <v>18</v>
      </c>
      <c r="F37" s="81"/>
      <c r="G37" s="23">
        <v>100000</v>
      </c>
      <c r="H37" s="19" t="s">
        <v>46</v>
      </c>
      <c r="I37" s="19" t="s">
        <v>44</v>
      </c>
      <c r="J37" s="84"/>
    </row>
    <row r="38" s="60" customFormat="1" ht="42" customHeight="1" spans="1:10">
      <c r="A38" s="79">
        <v>30</v>
      </c>
      <c r="B38" s="80">
        <v>46213</v>
      </c>
      <c r="C38" s="19" t="s">
        <v>21</v>
      </c>
      <c r="D38" s="19" t="s">
        <v>41</v>
      </c>
      <c r="E38" s="20" t="s">
        <v>18</v>
      </c>
      <c r="F38" s="81"/>
      <c r="G38" s="23">
        <v>130000</v>
      </c>
      <c r="H38" s="19" t="s">
        <v>19</v>
      </c>
      <c r="I38" s="19" t="s">
        <v>30</v>
      </c>
      <c r="J38" s="84"/>
    </row>
    <row r="39" s="60" customFormat="1" ht="42" customHeight="1" spans="1:10">
      <c r="A39" s="79">
        <v>31</v>
      </c>
      <c r="B39" s="80">
        <v>46214</v>
      </c>
      <c r="C39" s="19" t="s">
        <v>16</v>
      </c>
      <c r="D39" s="19" t="s">
        <v>17</v>
      </c>
      <c r="E39" s="20" t="s">
        <v>18</v>
      </c>
      <c r="F39" s="81"/>
      <c r="G39" s="23">
        <v>130000</v>
      </c>
      <c r="H39" s="19" t="s">
        <v>19</v>
      </c>
      <c r="I39" s="80" t="s">
        <v>20</v>
      </c>
      <c r="J39" s="84"/>
    </row>
    <row r="40" s="60" customFormat="1" ht="42" customHeight="1" spans="1:10">
      <c r="A40" s="79">
        <v>32</v>
      </c>
      <c r="B40" s="80">
        <v>46216</v>
      </c>
      <c r="C40" s="19" t="s">
        <v>16</v>
      </c>
      <c r="D40" s="19" t="s">
        <v>17</v>
      </c>
      <c r="E40" s="20" t="s">
        <v>18</v>
      </c>
      <c r="F40" s="81"/>
      <c r="G40" s="23">
        <v>130000</v>
      </c>
      <c r="H40" s="19" t="s">
        <v>19</v>
      </c>
      <c r="I40" s="19" t="s">
        <v>20</v>
      </c>
      <c r="J40" s="84"/>
    </row>
    <row r="41" s="60" customFormat="1" ht="42" customHeight="1" spans="1:10">
      <c r="A41" s="79">
        <v>33</v>
      </c>
      <c r="B41" s="80">
        <v>46217</v>
      </c>
      <c r="C41" s="19" t="s">
        <v>16</v>
      </c>
      <c r="D41" s="19" t="s">
        <v>17</v>
      </c>
      <c r="E41" s="20" t="s">
        <v>27</v>
      </c>
      <c r="F41" s="81"/>
      <c r="G41" s="23">
        <v>100000</v>
      </c>
      <c r="H41" s="19" t="s">
        <v>19</v>
      </c>
      <c r="I41" s="19" t="s">
        <v>32</v>
      </c>
      <c r="J41" s="84"/>
    </row>
    <row r="42" s="60" customFormat="1" ht="42" customHeight="1" spans="1:10">
      <c r="A42" s="79">
        <v>34</v>
      </c>
      <c r="B42" s="80">
        <v>46218</v>
      </c>
      <c r="C42" s="19" t="s">
        <v>16</v>
      </c>
      <c r="D42" s="19" t="s">
        <v>17</v>
      </c>
      <c r="E42" s="20" t="s">
        <v>18</v>
      </c>
      <c r="F42" s="81"/>
      <c r="G42" s="23">
        <v>130000</v>
      </c>
      <c r="H42" s="19" t="s">
        <v>19</v>
      </c>
      <c r="I42" s="19" t="s">
        <v>20</v>
      </c>
      <c r="J42" s="84"/>
    </row>
    <row r="43" s="60" customFormat="1" ht="42" customHeight="1" spans="1:10">
      <c r="A43" s="79">
        <v>35</v>
      </c>
      <c r="B43" s="80">
        <v>46219</v>
      </c>
      <c r="C43" s="19" t="s">
        <v>16</v>
      </c>
      <c r="D43" s="19" t="s">
        <v>17</v>
      </c>
      <c r="E43" s="20" t="s">
        <v>18</v>
      </c>
      <c r="F43" s="81"/>
      <c r="G43" s="23">
        <v>130000</v>
      </c>
      <c r="H43" s="19" t="s">
        <v>19</v>
      </c>
      <c r="I43" s="19" t="s">
        <v>20</v>
      </c>
      <c r="J43" s="84"/>
    </row>
    <row r="44" s="60" customFormat="1" ht="42" customHeight="1" spans="1:10">
      <c r="A44" s="79">
        <v>36</v>
      </c>
      <c r="B44" s="80">
        <v>46219</v>
      </c>
      <c r="C44" s="19" t="s">
        <v>16</v>
      </c>
      <c r="D44" s="19" t="s">
        <v>17</v>
      </c>
      <c r="E44" s="20" t="s">
        <v>27</v>
      </c>
      <c r="F44" s="81"/>
      <c r="G44" s="23">
        <v>100000</v>
      </c>
      <c r="H44" s="19" t="s">
        <v>31</v>
      </c>
      <c r="I44" s="19" t="s">
        <v>32</v>
      </c>
      <c r="J44" s="84"/>
    </row>
    <row r="45" s="60" customFormat="1" ht="42" customHeight="1" spans="1:10">
      <c r="A45" s="79">
        <v>37</v>
      </c>
      <c r="B45" s="80">
        <v>46219</v>
      </c>
      <c r="C45" s="19" t="s">
        <v>21</v>
      </c>
      <c r="D45" s="19" t="s">
        <v>47</v>
      </c>
      <c r="E45" s="20" t="s">
        <v>18</v>
      </c>
      <c r="F45" s="81"/>
      <c r="G45" s="23">
        <v>130000</v>
      </c>
      <c r="H45" s="19" t="s">
        <v>19</v>
      </c>
      <c r="I45" s="19" t="s">
        <v>30</v>
      </c>
      <c r="J45" s="84"/>
    </row>
    <row r="46" s="60" customFormat="1" ht="42" customHeight="1" spans="1:10">
      <c r="A46" s="79">
        <v>38</v>
      </c>
      <c r="B46" s="80">
        <v>46220</v>
      </c>
      <c r="C46" s="19" t="s">
        <v>16</v>
      </c>
      <c r="D46" s="19" t="s">
        <v>17</v>
      </c>
      <c r="E46" s="20" t="s">
        <v>18</v>
      </c>
      <c r="F46" s="81"/>
      <c r="G46" s="23">
        <v>130000</v>
      </c>
      <c r="H46" s="19" t="s">
        <v>19</v>
      </c>
      <c r="I46" s="19" t="s">
        <v>20</v>
      </c>
      <c r="J46" s="84"/>
    </row>
    <row r="47" s="60" customFormat="1" ht="42" customHeight="1" spans="1:10">
      <c r="A47" s="79">
        <v>39</v>
      </c>
      <c r="B47" s="80">
        <v>46220</v>
      </c>
      <c r="C47" s="19" t="s">
        <v>16</v>
      </c>
      <c r="D47" s="19" t="s">
        <v>17</v>
      </c>
      <c r="E47" s="20" t="s">
        <v>27</v>
      </c>
      <c r="F47" s="81"/>
      <c r="G47" s="23">
        <v>100000</v>
      </c>
      <c r="H47" s="19" t="s">
        <v>31</v>
      </c>
      <c r="I47" s="19" t="s">
        <v>32</v>
      </c>
      <c r="J47" s="84"/>
    </row>
    <row r="48" s="60" customFormat="1" ht="42" customHeight="1" spans="1:10">
      <c r="A48" s="79">
        <v>40</v>
      </c>
      <c r="B48" s="80">
        <v>46220</v>
      </c>
      <c r="C48" s="19" t="s">
        <v>21</v>
      </c>
      <c r="D48" s="19" t="s">
        <v>29</v>
      </c>
      <c r="E48" s="20" t="s">
        <v>18</v>
      </c>
      <c r="F48" s="81"/>
      <c r="G48" s="23">
        <v>130000</v>
      </c>
      <c r="H48" s="19" t="s">
        <v>19</v>
      </c>
      <c r="I48" s="19" t="s">
        <v>30</v>
      </c>
      <c r="J48" s="84"/>
    </row>
    <row r="49" s="60" customFormat="1" ht="42" customHeight="1" spans="1:10">
      <c r="A49" s="79">
        <v>41</v>
      </c>
      <c r="B49" s="80">
        <v>46221</v>
      </c>
      <c r="C49" s="19" t="s">
        <v>16</v>
      </c>
      <c r="D49" s="19" t="s">
        <v>17</v>
      </c>
      <c r="E49" s="20" t="s">
        <v>18</v>
      </c>
      <c r="F49" s="81"/>
      <c r="G49" s="23">
        <v>130000</v>
      </c>
      <c r="H49" s="19" t="s">
        <v>19</v>
      </c>
      <c r="I49" s="19" t="s">
        <v>20</v>
      </c>
      <c r="J49" s="84"/>
    </row>
    <row r="50" s="60" customFormat="1" ht="42" customHeight="1" spans="1:10">
      <c r="A50" s="79">
        <v>42</v>
      </c>
      <c r="B50" s="80">
        <v>46221</v>
      </c>
      <c r="C50" s="19" t="s">
        <v>16</v>
      </c>
      <c r="D50" s="19" t="s">
        <v>17</v>
      </c>
      <c r="E50" s="20" t="s">
        <v>27</v>
      </c>
      <c r="F50" s="81"/>
      <c r="G50" s="23">
        <v>100000</v>
      </c>
      <c r="H50" s="19" t="s">
        <v>31</v>
      </c>
      <c r="I50" s="19" t="s">
        <v>32</v>
      </c>
      <c r="J50" s="84"/>
    </row>
    <row r="51" s="60" customFormat="1" ht="42" customHeight="1" spans="1:10">
      <c r="A51" s="79">
        <v>43</v>
      </c>
      <c r="B51" s="80">
        <v>46221</v>
      </c>
      <c r="C51" s="19" t="s">
        <v>21</v>
      </c>
      <c r="D51" s="19" t="s">
        <v>29</v>
      </c>
      <c r="E51" s="20" t="s">
        <v>27</v>
      </c>
      <c r="F51" s="81"/>
      <c r="G51" s="23">
        <v>100000</v>
      </c>
      <c r="H51" s="19" t="s">
        <v>19</v>
      </c>
      <c r="I51" s="85" t="s">
        <v>48</v>
      </c>
      <c r="J51" s="84"/>
    </row>
    <row r="52" s="60" customFormat="1" ht="42" customHeight="1" spans="1:10">
      <c r="A52" s="79">
        <v>44</v>
      </c>
      <c r="B52" s="80">
        <v>46223</v>
      </c>
      <c r="C52" s="19" t="s">
        <v>16</v>
      </c>
      <c r="D52" s="19" t="s">
        <v>17</v>
      </c>
      <c r="E52" s="20" t="s">
        <v>27</v>
      </c>
      <c r="F52" s="81"/>
      <c r="G52" s="23">
        <v>100000</v>
      </c>
      <c r="H52" s="19" t="s">
        <v>19</v>
      </c>
      <c r="I52" s="19" t="s">
        <v>32</v>
      </c>
      <c r="J52" s="84"/>
    </row>
    <row r="53" s="60" customFormat="1" ht="42" customHeight="1" spans="1:10">
      <c r="A53" s="79">
        <v>45</v>
      </c>
      <c r="B53" s="80">
        <v>46223</v>
      </c>
      <c r="C53" s="19" t="s">
        <v>21</v>
      </c>
      <c r="D53" s="19" t="s">
        <v>29</v>
      </c>
      <c r="E53" s="20" t="s">
        <v>18</v>
      </c>
      <c r="F53" s="81"/>
      <c r="G53" s="23">
        <v>130000</v>
      </c>
      <c r="H53" s="19" t="s">
        <v>19</v>
      </c>
      <c r="I53" s="19" t="s">
        <v>30</v>
      </c>
      <c r="J53" s="84"/>
    </row>
    <row r="54" s="60" customFormat="1" ht="42" customHeight="1" spans="1:10">
      <c r="A54" s="79">
        <v>46</v>
      </c>
      <c r="B54" s="80">
        <v>46224</v>
      </c>
      <c r="C54" s="19" t="s">
        <v>16</v>
      </c>
      <c r="D54" s="19" t="s">
        <v>17</v>
      </c>
      <c r="E54" s="20" t="s">
        <v>18</v>
      </c>
      <c r="F54" s="81"/>
      <c r="G54" s="23">
        <v>130000</v>
      </c>
      <c r="H54" s="19" t="s">
        <v>19</v>
      </c>
      <c r="I54" s="19" t="s">
        <v>20</v>
      </c>
      <c r="J54" s="84"/>
    </row>
    <row r="55" s="60" customFormat="1" ht="42" customHeight="1" spans="1:10">
      <c r="A55" s="79">
        <v>47</v>
      </c>
      <c r="B55" s="80">
        <v>46224</v>
      </c>
      <c r="C55" s="19" t="s">
        <v>21</v>
      </c>
      <c r="D55" s="19" t="s">
        <v>29</v>
      </c>
      <c r="E55" s="20" t="s">
        <v>18</v>
      </c>
      <c r="F55" s="81"/>
      <c r="G55" s="23">
        <v>130000</v>
      </c>
      <c r="H55" s="19" t="s">
        <v>19</v>
      </c>
      <c r="I55" s="19" t="s">
        <v>30</v>
      </c>
      <c r="J55" s="84"/>
    </row>
    <row r="56" s="60" customFormat="1" ht="42" customHeight="1" spans="1:10">
      <c r="A56" s="79">
        <v>48</v>
      </c>
      <c r="B56" s="80">
        <v>46225</v>
      </c>
      <c r="C56" s="19" t="s">
        <v>16</v>
      </c>
      <c r="D56" s="19" t="s">
        <v>17</v>
      </c>
      <c r="E56" s="20" t="s">
        <v>18</v>
      </c>
      <c r="F56" s="81"/>
      <c r="G56" s="23">
        <v>130000</v>
      </c>
      <c r="H56" s="19" t="s">
        <v>19</v>
      </c>
      <c r="I56" s="19" t="s">
        <v>20</v>
      </c>
      <c r="J56" s="84"/>
    </row>
    <row r="57" s="60" customFormat="1" ht="42" customHeight="1" spans="1:10">
      <c r="A57" s="79">
        <v>49</v>
      </c>
      <c r="B57" s="80">
        <v>46225</v>
      </c>
      <c r="C57" s="19" t="s">
        <v>16</v>
      </c>
      <c r="D57" s="19" t="s">
        <v>17</v>
      </c>
      <c r="E57" s="20" t="s">
        <v>18</v>
      </c>
      <c r="F57" s="81"/>
      <c r="G57" s="23">
        <v>130000</v>
      </c>
      <c r="H57" s="19" t="s">
        <v>49</v>
      </c>
      <c r="I57" s="19" t="s">
        <v>20</v>
      </c>
      <c r="J57" s="84"/>
    </row>
    <row r="58" s="60" customFormat="1" ht="42" customHeight="1" spans="1:10">
      <c r="A58" s="79">
        <v>50</v>
      </c>
      <c r="B58" s="80">
        <v>46225</v>
      </c>
      <c r="C58" s="19" t="s">
        <v>21</v>
      </c>
      <c r="D58" s="19" t="s">
        <v>29</v>
      </c>
      <c r="E58" s="20" t="s">
        <v>18</v>
      </c>
      <c r="F58" s="81"/>
      <c r="G58" s="23">
        <v>130000</v>
      </c>
      <c r="H58" s="19" t="s">
        <v>19</v>
      </c>
      <c r="I58" s="19" t="s">
        <v>50</v>
      </c>
      <c r="J58" s="84"/>
    </row>
    <row r="59" s="60" customFormat="1" ht="42" customHeight="1" spans="1:10">
      <c r="A59" s="79">
        <v>51</v>
      </c>
      <c r="B59" s="80">
        <v>46225</v>
      </c>
      <c r="C59" s="19" t="s">
        <v>21</v>
      </c>
      <c r="D59" s="19" t="s">
        <v>51</v>
      </c>
      <c r="E59" s="20" t="s">
        <v>27</v>
      </c>
      <c r="F59" s="81"/>
      <c r="G59" s="23">
        <v>100000</v>
      </c>
      <c r="H59" s="19" t="s">
        <v>19</v>
      </c>
      <c r="I59" s="19" t="s">
        <v>52</v>
      </c>
      <c r="J59" s="84"/>
    </row>
    <row r="60" s="60" customFormat="1" ht="42" customHeight="1" spans="1:10">
      <c r="A60" s="79">
        <v>52</v>
      </c>
      <c r="B60" s="80">
        <v>46225</v>
      </c>
      <c r="C60" s="19" t="s">
        <v>21</v>
      </c>
      <c r="D60" s="19" t="s">
        <v>29</v>
      </c>
      <c r="E60" s="20" t="s">
        <v>18</v>
      </c>
      <c r="F60" s="81"/>
      <c r="G60" s="23">
        <v>130000</v>
      </c>
      <c r="H60" s="19" t="s">
        <v>19</v>
      </c>
      <c r="I60" s="19" t="s">
        <v>53</v>
      </c>
      <c r="J60" s="84"/>
    </row>
    <row r="61" s="60" customFormat="1" ht="42" customHeight="1" spans="1:10">
      <c r="A61" s="79">
        <v>53</v>
      </c>
      <c r="B61" s="80">
        <v>46226</v>
      </c>
      <c r="C61" s="19" t="s">
        <v>16</v>
      </c>
      <c r="D61" s="19" t="s">
        <v>17</v>
      </c>
      <c r="E61" s="20" t="s">
        <v>18</v>
      </c>
      <c r="F61" s="81"/>
      <c r="G61" s="23">
        <v>130000</v>
      </c>
      <c r="H61" s="19" t="s">
        <v>19</v>
      </c>
      <c r="I61" s="19" t="s">
        <v>20</v>
      </c>
      <c r="J61" s="84"/>
    </row>
    <row r="62" s="60" customFormat="1" ht="42" customHeight="1" spans="1:10">
      <c r="A62" s="79">
        <v>54</v>
      </c>
      <c r="B62" s="80">
        <v>46226</v>
      </c>
      <c r="C62" s="19" t="s">
        <v>21</v>
      </c>
      <c r="D62" s="19" t="s">
        <v>29</v>
      </c>
      <c r="E62" s="20" t="s">
        <v>18</v>
      </c>
      <c r="F62" s="81"/>
      <c r="G62" s="23">
        <v>130000</v>
      </c>
      <c r="H62" s="19" t="s">
        <v>19</v>
      </c>
      <c r="I62" s="19" t="s">
        <v>30</v>
      </c>
      <c r="J62" s="84"/>
    </row>
    <row r="63" s="60" customFormat="1" ht="42" customHeight="1" spans="1:10">
      <c r="A63" s="79">
        <v>55</v>
      </c>
      <c r="B63" s="80">
        <v>46226</v>
      </c>
      <c r="C63" s="19" t="s">
        <v>21</v>
      </c>
      <c r="D63" s="19" t="s">
        <v>29</v>
      </c>
      <c r="E63" s="20" t="s">
        <v>27</v>
      </c>
      <c r="F63" s="81"/>
      <c r="G63" s="23">
        <v>100000</v>
      </c>
      <c r="H63" s="19" t="s">
        <v>54</v>
      </c>
      <c r="I63" s="19" t="s">
        <v>55</v>
      </c>
      <c r="J63" s="84"/>
    </row>
    <row r="64" s="60" customFormat="1" ht="42" customHeight="1" spans="1:10">
      <c r="A64" s="79">
        <v>56</v>
      </c>
      <c r="B64" s="80">
        <v>46227</v>
      </c>
      <c r="C64" s="19" t="s">
        <v>16</v>
      </c>
      <c r="D64" s="19" t="s">
        <v>17</v>
      </c>
      <c r="E64" s="20" t="s">
        <v>18</v>
      </c>
      <c r="F64" s="81"/>
      <c r="G64" s="23">
        <v>130000</v>
      </c>
      <c r="H64" s="19" t="s">
        <v>19</v>
      </c>
      <c r="I64" s="19" t="s">
        <v>20</v>
      </c>
      <c r="J64" s="84"/>
    </row>
    <row r="65" s="60" customFormat="1" ht="42" customHeight="1" spans="1:10">
      <c r="A65" s="79">
        <v>57</v>
      </c>
      <c r="B65" s="80">
        <v>46227</v>
      </c>
      <c r="C65" s="19" t="s">
        <v>16</v>
      </c>
      <c r="D65" s="19" t="s">
        <v>17</v>
      </c>
      <c r="E65" s="20" t="s">
        <v>27</v>
      </c>
      <c r="F65" s="81"/>
      <c r="G65" s="23">
        <v>100000</v>
      </c>
      <c r="H65" s="19" t="s">
        <v>54</v>
      </c>
      <c r="I65" s="19" t="s">
        <v>32</v>
      </c>
      <c r="J65" s="84"/>
    </row>
    <row r="66" s="60" customFormat="1" ht="42" customHeight="1" spans="1:10">
      <c r="A66" s="79">
        <v>58</v>
      </c>
      <c r="B66" s="80">
        <v>46227</v>
      </c>
      <c r="C66" s="19" t="s">
        <v>21</v>
      </c>
      <c r="D66" s="19" t="s">
        <v>29</v>
      </c>
      <c r="E66" s="20" t="s">
        <v>18</v>
      </c>
      <c r="F66" s="81"/>
      <c r="G66" s="23">
        <v>130000</v>
      </c>
      <c r="H66" s="19" t="s">
        <v>19</v>
      </c>
      <c r="I66" s="19" t="s">
        <v>30</v>
      </c>
      <c r="J66" s="84"/>
    </row>
    <row r="67" s="60" customFormat="1" ht="42" customHeight="1" spans="1:10">
      <c r="A67" s="79">
        <v>59</v>
      </c>
      <c r="B67" s="80">
        <v>46227</v>
      </c>
      <c r="C67" s="19" t="s">
        <v>21</v>
      </c>
      <c r="D67" s="19" t="s">
        <v>29</v>
      </c>
      <c r="E67" s="20" t="s">
        <v>27</v>
      </c>
      <c r="F67" s="81"/>
      <c r="G67" s="23">
        <v>100000</v>
      </c>
      <c r="H67" s="19" t="s">
        <v>54</v>
      </c>
      <c r="I67" s="19" t="s">
        <v>55</v>
      </c>
      <c r="J67" s="84"/>
    </row>
    <row r="68" s="60" customFormat="1" ht="42" customHeight="1" spans="1:10">
      <c r="A68" s="79">
        <v>60</v>
      </c>
      <c r="B68" s="80">
        <v>46228</v>
      </c>
      <c r="C68" s="19" t="s">
        <v>16</v>
      </c>
      <c r="D68" s="19" t="s">
        <v>17</v>
      </c>
      <c r="E68" s="20" t="s">
        <v>18</v>
      </c>
      <c r="F68" s="81"/>
      <c r="G68" s="23">
        <v>130000</v>
      </c>
      <c r="H68" s="19" t="s">
        <v>19</v>
      </c>
      <c r="I68" s="19" t="s">
        <v>20</v>
      </c>
      <c r="J68" s="84"/>
    </row>
    <row r="69" s="60" customFormat="1" ht="42" customHeight="1" spans="1:10">
      <c r="A69" s="79">
        <v>61</v>
      </c>
      <c r="B69" s="80">
        <v>46228</v>
      </c>
      <c r="C69" s="19" t="s">
        <v>16</v>
      </c>
      <c r="D69" s="19" t="s">
        <v>17</v>
      </c>
      <c r="E69" s="20" t="s">
        <v>27</v>
      </c>
      <c r="F69" s="81"/>
      <c r="G69" s="23">
        <v>100000</v>
      </c>
      <c r="H69" s="19" t="s">
        <v>31</v>
      </c>
      <c r="I69" s="19" t="s">
        <v>32</v>
      </c>
      <c r="J69" s="84"/>
    </row>
    <row r="70" s="60" customFormat="1" ht="42" customHeight="1" spans="1:10">
      <c r="A70" s="79">
        <v>62</v>
      </c>
      <c r="B70" s="80">
        <v>46228</v>
      </c>
      <c r="C70" s="19" t="s">
        <v>21</v>
      </c>
      <c r="D70" s="19" t="s">
        <v>29</v>
      </c>
      <c r="E70" s="20" t="s">
        <v>27</v>
      </c>
      <c r="F70" s="81"/>
      <c r="G70" s="23">
        <v>100000</v>
      </c>
      <c r="H70" s="19" t="s">
        <v>19</v>
      </c>
      <c r="I70" s="19" t="s">
        <v>56</v>
      </c>
      <c r="J70" s="84"/>
    </row>
    <row r="71" s="60" customFormat="1" ht="42" customHeight="1" spans="1:10">
      <c r="A71" s="79">
        <v>63</v>
      </c>
      <c r="B71" s="80">
        <v>46228</v>
      </c>
      <c r="C71" s="19" t="s">
        <v>21</v>
      </c>
      <c r="D71" s="19" t="s">
        <v>36</v>
      </c>
      <c r="E71" s="20" t="s">
        <v>27</v>
      </c>
      <c r="F71" s="81"/>
      <c r="G71" s="23">
        <v>100000</v>
      </c>
      <c r="H71" s="19" t="s">
        <v>54</v>
      </c>
      <c r="I71" s="19" t="s">
        <v>57</v>
      </c>
      <c r="J71" s="84"/>
    </row>
    <row r="72" s="60" customFormat="1" ht="42" customHeight="1" spans="1:10">
      <c r="A72" s="79"/>
      <c r="B72" s="80"/>
      <c r="C72" s="19"/>
      <c r="D72" s="19"/>
      <c r="E72" s="20"/>
      <c r="F72" s="81"/>
      <c r="G72" s="23"/>
      <c r="H72" s="19"/>
      <c r="I72" s="19"/>
      <c r="J72" s="84"/>
    </row>
    <row r="73" s="60" customFormat="1" ht="42" customHeight="1" spans="1:10">
      <c r="A73" s="86" t="s">
        <v>58</v>
      </c>
      <c r="B73" s="75" t="s">
        <v>59</v>
      </c>
      <c r="C73" s="75"/>
      <c r="D73" s="75"/>
      <c r="E73" s="75"/>
      <c r="F73" s="75"/>
      <c r="G73" s="87">
        <f>+SUM(G9:G71)</f>
        <v>8390000</v>
      </c>
      <c r="H73" s="88"/>
      <c r="I73" s="97" t="s">
        <v>15</v>
      </c>
      <c r="J73" s="84">
        <v>4</v>
      </c>
    </row>
    <row r="74" s="60" customFormat="1" ht="42" customHeight="1" spans="1:10">
      <c r="A74" s="89">
        <v>1</v>
      </c>
      <c r="B74" s="25">
        <v>46199</v>
      </c>
      <c r="C74" s="19" t="s">
        <v>21</v>
      </c>
      <c r="D74" s="19" t="s">
        <v>36</v>
      </c>
      <c r="E74" s="20" t="s">
        <v>27</v>
      </c>
      <c r="F74" s="81"/>
      <c r="G74" s="23">
        <v>100000</v>
      </c>
      <c r="H74" s="19" t="s">
        <v>60</v>
      </c>
      <c r="I74" s="19" t="s">
        <v>28</v>
      </c>
      <c r="J74" s="84"/>
    </row>
    <row r="75" s="60" customFormat="1" ht="42" customHeight="1" spans="1:10">
      <c r="A75" s="89">
        <v>2</v>
      </c>
      <c r="B75" s="25">
        <v>46200</v>
      </c>
      <c r="C75" s="19" t="s">
        <v>21</v>
      </c>
      <c r="D75" s="19" t="s">
        <v>22</v>
      </c>
      <c r="E75" s="20" t="s">
        <v>27</v>
      </c>
      <c r="F75" s="81"/>
      <c r="G75" s="23">
        <v>100000</v>
      </c>
      <c r="H75" s="19" t="s">
        <v>60</v>
      </c>
      <c r="I75" s="19" t="s">
        <v>28</v>
      </c>
      <c r="J75" s="84"/>
    </row>
    <row r="76" s="60" customFormat="1" ht="42" customHeight="1" spans="1:10">
      <c r="A76" s="89">
        <v>3</v>
      </c>
      <c r="B76" s="25">
        <v>46201</v>
      </c>
      <c r="C76" s="19" t="s">
        <v>61</v>
      </c>
      <c r="D76" s="19" t="s">
        <v>62</v>
      </c>
      <c r="E76" s="20" t="s">
        <v>18</v>
      </c>
      <c r="F76" s="81"/>
      <c r="G76" s="23">
        <v>220000</v>
      </c>
      <c r="H76" s="19" t="s">
        <v>60</v>
      </c>
      <c r="I76" s="19" t="s">
        <v>63</v>
      </c>
      <c r="J76" s="84"/>
    </row>
    <row r="77" s="60" customFormat="1" ht="42" customHeight="1" spans="1:10">
      <c r="A77" s="89">
        <v>4</v>
      </c>
      <c r="B77" s="25">
        <v>46202</v>
      </c>
      <c r="C77" s="19" t="s">
        <v>16</v>
      </c>
      <c r="D77" s="19" t="s">
        <v>17</v>
      </c>
      <c r="E77" s="20" t="s">
        <v>18</v>
      </c>
      <c r="F77" s="81"/>
      <c r="G77" s="23">
        <v>130000</v>
      </c>
      <c r="H77" s="19" t="s">
        <v>60</v>
      </c>
      <c r="I77" s="19" t="s">
        <v>64</v>
      </c>
      <c r="J77" s="84"/>
    </row>
    <row r="78" s="60" customFormat="1" ht="42" customHeight="1" spans="1:10">
      <c r="A78" s="89">
        <v>5</v>
      </c>
      <c r="B78" s="25">
        <v>46203</v>
      </c>
      <c r="C78" s="19" t="s">
        <v>16</v>
      </c>
      <c r="D78" s="19" t="s">
        <v>17</v>
      </c>
      <c r="E78" s="20" t="s">
        <v>18</v>
      </c>
      <c r="F78" s="81"/>
      <c r="G78" s="23">
        <v>130000</v>
      </c>
      <c r="H78" s="19" t="s">
        <v>60</v>
      </c>
      <c r="I78" s="19" t="s">
        <v>64</v>
      </c>
      <c r="J78" s="84"/>
    </row>
    <row r="79" s="60" customFormat="1" ht="42" customHeight="1" spans="1:10">
      <c r="A79" s="89">
        <v>6</v>
      </c>
      <c r="B79" s="25">
        <v>46205</v>
      </c>
      <c r="C79" s="19" t="s">
        <v>16</v>
      </c>
      <c r="D79" s="19" t="s">
        <v>17</v>
      </c>
      <c r="E79" s="20" t="s">
        <v>18</v>
      </c>
      <c r="F79" s="81"/>
      <c r="G79" s="23">
        <v>130000</v>
      </c>
      <c r="H79" s="19" t="s">
        <v>60</v>
      </c>
      <c r="I79" s="19" t="s">
        <v>64</v>
      </c>
      <c r="J79" s="84"/>
    </row>
    <row r="80" s="60" customFormat="1" ht="42" customHeight="1" spans="1:10">
      <c r="A80" s="89">
        <v>7</v>
      </c>
      <c r="B80" s="25">
        <v>46205</v>
      </c>
      <c r="C80" s="19" t="s">
        <v>21</v>
      </c>
      <c r="D80" s="19" t="s">
        <v>22</v>
      </c>
      <c r="E80" s="20" t="s">
        <v>27</v>
      </c>
      <c r="F80" s="81"/>
      <c r="G80" s="23">
        <v>100000</v>
      </c>
      <c r="H80" s="19" t="s">
        <v>60</v>
      </c>
      <c r="I80" s="19" t="s">
        <v>65</v>
      </c>
      <c r="J80" s="84"/>
    </row>
    <row r="81" s="60" customFormat="1" ht="42" customHeight="1" spans="1:10">
      <c r="A81" s="89">
        <v>8</v>
      </c>
      <c r="B81" s="25">
        <v>46206</v>
      </c>
      <c r="C81" s="19" t="s">
        <v>16</v>
      </c>
      <c r="D81" s="19" t="s">
        <v>17</v>
      </c>
      <c r="E81" s="20" t="s">
        <v>27</v>
      </c>
      <c r="F81" s="81"/>
      <c r="G81" s="23">
        <v>100000</v>
      </c>
      <c r="H81" s="19" t="s">
        <v>60</v>
      </c>
      <c r="I81" s="19" t="s">
        <v>66</v>
      </c>
      <c r="J81" s="84"/>
    </row>
    <row r="82" s="60" customFormat="1" ht="42" customHeight="1" spans="1:10">
      <c r="A82" s="89">
        <v>9</v>
      </c>
      <c r="B82" s="25">
        <v>46207</v>
      </c>
      <c r="C82" s="19" t="s">
        <v>37</v>
      </c>
      <c r="D82" s="19" t="s">
        <v>67</v>
      </c>
      <c r="E82" s="20" t="s">
        <v>27</v>
      </c>
      <c r="F82" s="81"/>
      <c r="G82" s="23">
        <v>650000</v>
      </c>
      <c r="H82" s="19" t="s">
        <v>60</v>
      </c>
      <c r="I82" s="19" t="s">
        <v>68</v>
      </c>
      <c r="J82" s="84"/>
    </row>
    <row r="83" s="60" customFormat="1" ht="42" customHeight="1" spans="1:10">
      <c r="A83" s="89">
        <v>10</v>
      </c>
      <c r="B83" s="25">
        <v>46209</v>
      </c>
      <c r="C83" s="19" t="s">
        <v>16</v>
      </c>
      <c r="D83" s="19" t="s">
        <v>17</v>
      </c>
      <c r="E83" s="20" t="s">
        <v>18</v>
      </c>
      <c r="F83" s="81"/>
      <c r="G83" s="23">
        <v>130000</v>
      </c>
      <c r="H83" s="19" t="s">
        <v>60</v>
      </c>
      <c r="I83" s="19" t="s">
        <v>64</v>
      </c>
      <c r="J83" s="84"/>
    </row>
    <row r="84" s="60" customFormat="1" ht="42" customHeight="1" spans="1:10">
      <c r="A84" s="89">
        <v>11</v>
      </c>
      <c r="B84" s="25">
        <v>46209</v>
      </c>
      <c r="C84" s="19" t="s">
        <v>16</v>
      </c>
      <c r="D84" s="19" t="s">
        <v>17</v>
      </c>
      <c r="E84" s="20" t="s">
        <v>27</v>
      </c>
      <c r="F84" s="81"/>
      <c r="G84" s="23">
        <v>100000</v>
      </c>
      <c r="H84" s="19" t="s">
        <v>31</v>
      </c>
      <c r="I84" s="19" t="s">
        <v>69</v>
      </c>
      <c r="J84" s="84"/>
    </row>
    <row r="85" s="60" customFormat="1" ht="42" customHeight="1" spans="1:10">
      <c r="A85" s="89">
        <v>12</v>
      </c>
      <c r="B85" s="25">
        <v>46209</v>
      </c>
      <c r="C85" s="19" t="s">
        <v>21</v>
      </c>
      <c r="D85" s="19" t="s">
        <v>22</v>
      </c>
      <c r="E85" s="20" t="s">
        <v>18</v>
      </c>
      <c r="F85" s="81"/>
      <c r="G85" s="23">
        <v>130000</v>
      </c>
      <c r="H85" s="19" t="s">
        <v>60</v>
      </c>
      <c r="I85" s="19" t="s">
        <v>23</v>
      </c>
      <c r="J85" s="84"/>
    </row>
    <row r="86" s="60" customFormat="1" ht="42" customHeight="1" spans="1:10">
      <c r="A86" s="89">
        <v>13</v>
      </c>
      <c r="B86" s="25">
        <v>46210</v>
      </c>
      <c r="C86" s="19" t="s">
        <v>16</v>
      </c>
      <c r="D86" s="19" t="s">
        <v>17</v>
      </c>
      <c r="E86" s="20" t="s">
        <v>18</v>
      </c>
      <c r="F86" s="81"/>
      <c r="G86" s="23">
        <v>130000</v>
      </c>
      <c r="H86" s="19" t="s">
        <v>60</v>
      </c>
      <c r="I86" s="19" t="s">
        <v>64</v>
      </c>
      <c r="J86" s="84"/>
    </row>
    <row r="87" s="60" customFormat="1" ht="42" customHeight="1" spans="1:10">
      <c r="A87" s="89">
        <v>14</v>
      </c>
      <c r="B87" s="25">
        <v>46210</v>
      </c>
      <c r="C87" s="19" t="s">
        <v>21</v>
      </c>
      <c r="D87" s="19" t="s">
        <v>22</v>
      </c>
      <c r="E87" s="20" t="s">
        <v>18</v>
      </c>
      <c r="F87" s="81"/>
      <c r="G87" s="23">
        <v>130000</v>
      </c>
      <c r="H87" s="19" t="s">
        <v>60</v>
      </c>
      <c r="I87" s="19" t="s">
        <v>70</v>
      </c>
      <c r="J87" s="84"/>
    </row>
    <row r="88" s="60" customFormat="1" ht="42" customHeight="1" spans="1:10">
      <c r="A88" s="89">
        <v>15</v>
      </c>
      <c r="B88" s="25">
        <v>46210</v>
      </c>
      <c r="C88" s="19" t="s">
        <v>21</v>
      </c>
      <c r="D88" s="19" t="s">
        <v>22</v>
      </c>
      <c r="E88" s="20" t="s">
        <v>18</v>
      </c>
      <c r="F88" s="81"/>
      <c r="G88" s="23">
        <v>130000</v>
      </c>
      <c r="H88" s="19" t="s">
        <v>60</v>
      </c>
      <c r="I88" s="19" t="s">
        <v>23</v>
      </c>
      <c r="J88" s="84"/>
    </row>
    <row r="89" s="60" customFormat="1" ht="42" customHeight="1" spans="1:10">
      <c r="A89" s="89">
        <v>16</v>
      </c>
      <c r="B89" s="25">
        <v>46211</v>
      </c>
      <c r="C89" s="19" t="s">
        <v>16</v>
      </c>
      <c r="D89" s="19" t="s">
        <v>17</v>
      </c>
      <c r="E89" s="20" t="s">
        <v>18</v>
      </c>
      <c r="F89" s="81"/>
      <c r="G89" s="23">
        <v>130000</v>
      </c>
      <c r="H89" s="19" t="s">
        <v>60</v>
      </c>
      <c r="I89" s="19" t="s">
        <v>64</v>
      </c>
      <c r="J89" s="84"/>
    </row>
    <row r="90" s="60" customFormat="1" ht="42" customHeight="1" spans="1:10">
      <c r="A90" s="89">
        <v>17</v>
      </c>
      <c r="B90" s="25">
        <v>46212</v>
      </c>
      <c r="C90" s="19" t="s">
        <v>16</v>
      </c>
      <c r="D90" s="19" t="s">
        <v>17</v>
      </c>
      <c r="E90" s="20" t="s">
        <v>18</v>
      </c>
      <c r="F90" s="81"/>
      <c r="G90" s="23">
        <v>130000</v>
      </c>
      <c r="H90" s="19" t="s">
        <v>60</v>
      </c>
      <c r="I90" s="19" t="s">
        <v>64</v>
      </c>
      <c r="J90" s="84"/>
    </row>
    <row r="91" s="60" customFormat="1" ht="42" customHeight="1" spans="1:10">
      <c r="A91" s="89">
        <v>18</v>
      </c>
      <c r="B91" s="25">
        <v>46213</v>
      </c>
      <c r="C91" s="19" t="s">
        <v>16</v>
      </c>
      <c r="D91" s="19" t="s">
        <v>17</v>
      </c>
      <c r="E91" s="20" t="s">
        <v>18</v>
      </c>
      <c r="F91" s="81"/>
      <c r="G91" s="23">
        <v>130000</v>
      </c>
      <c r="H91" s="19" t="s">
        <v>60</v>
      </c>
      <c r="I91" s="19" t="s">
        <v>64</v>
      </c>
      <c r="J91" s="84"/>
    </row>
    <row r="92" s="60" customFormat="1" ht="42" customHeight="1" spans="1:10">
      <c r="A92" s="89">
        <v>19</v>
      </c>
      <c r="B92" s="25">
        <v>46213</v>
      </c>
      <c r="C92" s="19" t="s">
        <v>21</v>
      </c>
      <c r="D92" s="19" t="s">
        <v>22</v>
      </c>
      <c r="E92" s="20" t="s">
        <v>18</v>
      </c>
      <c r="F92" s="81"/>
      <c r="G92" s="23">
        <v>130000</v>
      </c>
      <c r="H92" s="19" t="s">
        <v>60</v>
      </c>
      <c r="I92" s="19" t="s">
        <v>23</v>
      </c>
      <c r="J92" s="84"/>
    </row>
    <row r="93" s="60" customFormat="1" ht="42" customHeight="1" spans="1:10">
      <c r="A93" s="89">
        <v>20</v>
      </c>
      <c r="B93" s="25">
        <v>46216</v>
      </c>
      <c r="C93" s="19" t="s">
        <v>16</v>
      </c>
      <c r="D93" s="19" t="s">
        <v>17</v>
      </c>
      <c r="E93" s="20" t="s">
        <v>27</v>
      </c>
      <c r="F93" s="81"/>
      <c r="G93" s="23">
        <v>100000</v>
      </c>
      <c r="H93" s="19" t="s">
        <v>60</v>
      </c>
      <c r="I93" s="19" t="s">
        <v>66</v>
      </c>
      <c r="J93" s="84"/>
    </row>
    <row r="94" s="60" customFormat="1" ht="42" customHeight="1" spans="1:10">
      <c r="A94" s="89">
        <v>21</v>
      </c>
      <c r="B94" s="25">
        <v>46217</v>
      </c>
      <c r="C94" s="19" t="s">
        <v>16</v>
      </c>
      <c r="D94" s="19" t="s">
        <v>17</v>
      </c>
      <c r="E94" s="20" t="s">
        <v>18</v>
      </c>
      <c r="F94" s="81"/>
      <c r="G94" s="23">
        <v>130000</v>
      </c>
      <c r="H94" s="19" t="s">
        <v>60</v>
      </c>
      <c r="I94" s="19" t="s">
        <v>64</v>
      </c>
      <c r="J94" s="84"/>
    </row>
    <row r="95" s="60" customFormat="1" ht="42" customHeight="1" spans="1:10">
      <c r="A95" s="89">
        <v>22</v>
      </c>
      <c r="B95" s="25">
        <v>46218</v>
      </c>
      <c r="C95" s="19" t="s">
        <v>16</v>
      </c>
      <c r="D95" s="19" t="s">
        <v>17</v>
      </c>
      <c r="E95" s="20" t="s">
        <v>27</v>
      </c>
      <c r="F95" s="81"/>
      <c r="G95" s="23">
        <v>100000</v>
      </c>
      <c r="H95" s="19" t="s">
        <v>60</v>
      </c>
      <c r="I95" s="19" t="s">
        <v>66</v>
      </c>
      <c r="J95" s="84"/>
    </row>
    <row r="96" s="60" customFormat="1" ht="42" customHeight="1" spans="1:10">
      <c r="A96" s="89">
        <v>23</v>
      </c>
      <c r="B96" s="25">
        <v>46219</v>
      </c>
      <c r="C96" s="19" t="s">
        <v>21</v>
      </c>
      <c r="D96" s="19" t="s">
        <v>22</v>
      </c>
      <c r="E96" s="20" t="s">
        <v>18</v>
      </c>
      <c r="F96" s="81"/>
      <c r="G96" s="23">
        <v>130000</v>
      </c>
      <c r="H96" s="19" t="s">
        <v>60</v>
      </c>
      <c r="I96" s="19" t="s">
        <v>23</v>
      </c>
      <c r="J96" s="84"/>
    </row>
    <row r="97" s="60" customFormat="1" ht="42" customHeight="1" spans="1:10">
      <c r="A97" s="89">
        <v>24</v>
      </c>
      <c r="B97" s="25">
        <v>46220</v>
      </c>
      <c r="C97" s="19" t="s">
        <v>21</v>
      </c>
      <c r="D97" s="19" t="s">
        <v>22</v>
      </c>
      <c r="E97" s="20" t="s">
        <v>18</v>
      </c>
      <c r="F97" s="81"/>
      <c r="G97" s="23">
        <v>130000</v>
      </c>
      <c r="H97" s="19" t="s">
        <v>60</v>
      </c>
      <c r="I97" s="19" t="s">
        <v>23</v>
      </c>
      <c r="J97" s="84"/>
    </row>
    <row r="98" s="60" customFormat="1" ht="42" customHeight="1" spans="1:10">
      <c r="A98" s="89">
        <v>25</v>
      </c>
      <c r="B98" s="25">
        <v>46221</v>
      </c>
      <c r="C98" s="19" t="s">
        <v>21</v>
      </c>
      <c r="D98" s="19" t="s">
        <v>22</v>
      </c>
      <c r="E98" s="20" t="s">
        <v>18</v>
      </c>
      <c r="F98" s="81"/>
      <c r="G98" s="23">
        <v>130000</v>
      </c>
      <c r="H98" s="19" t="s">
        <v>60</v>
      </c>
      <c r="I98" s="19" t="s">
        <v>70</v>
      </c>
      <c r="J98" s="84"/>
    </row>
    <row r="99" s="60" customFormat="1" ht="42" customHeight="1" spans="1:10">
      <c r="A99" s="89">
        <v>26</v>
      </c>
      <c r="B99" s="25">
        <v>46221</v>
      </c>
      <c r="C99" s="19" t="s">
        <v>21</v>
      </c>
      <c r="D99" s="19" t="s">
        <v>22</v>
      </c>
      <c r="E99" s="20" t="s">
        <v>27</v>
      </c>
      <c r="F99" s="81"/>
      <c r="G99" s="23">
        <v>100000</v>
      </c>
      <c r="H99" s="19" t="s">
        <v>60</v>
      </c>
      <c r="I99" s="19" t="s">
        <v>28</v>
      </c>
      <c r="J99" s="84"/>
    </row>
    <row r="100" s="60" customFormat="1" ht="42" customHeight="1" spans="1:10">
      <c r="A100" s="89">
        <v>27</v>
      </c>
      <c r="B100" s="25">
        <v>46223</v>
      </c>
      <c r="C100" s="19" t="s">
        <v>16</v>
      </c>
      <c r="D100" s="19" t="s">
        <v>17</v>
      </c>
      <c r="E100" s="20" t="s">
        <v>18</v>
      </c>
      <c r="F100" s="81"/>
      <c r="G100" s="23">
        <v>130000</v>
      </c>
      <c r="H100" s="19" t="s">
        <v>60</v>
      </c>
      <c r="I100" s="19" t="s">
        <v>64</v>
      </c>
      <c r="J100" s="84"/>
    </row>
    <row r="101" s="60" customFormat="1" ht="42" customHeight="1" spans="1:10">
      <c r="A101" s="89">
        <v>28</v>
      </c>
      <c r="B101" s="25">
        <v>46224</v>
      </c>
      <c r="C101" s="19" t="s">
        <v>16</v>
      </c>
      <c r="D101" s="19" t="s">
        <v>17</v>
      </c>
      <c r="E101" s="20" t="s">
        <v>18</v>
      </c>
      <c r="F101" s="81"/>
      <c r="G101" s="23">
        <v>130000</v>
      </c>
      <c r="H101" s="19" t="s">
        <v>60</v>
      </c>
      <c r="I101" s="19" t="s">
        <v>64</v>
      </c>
      <c r="J101" s="84"/>
    </row>
    <row r="102" s="60" customFormat="1" ht="42" customHeight="1" spans="1:10">
      <c r="A102" s="89">
        <v>29</v>
      </c>
      <c r="B102" s="25">
        <v>46224</v>
      </c>
      <c r="C102" s="19" t="s">
        <v>21</v>
      </c>
      <c r="D102" s="19" t="s">
        <v>22</v>
      </c>
      <c r="E102" s="20" t="s">
        <v>18</v>
      </c>
      <c r="F102" s="81"/>
      <c r="G102" s="23">
        <v>130000</v>
      </c>
      <c r="H102" s="19" t="s">
        <v>60</v>
      </c>
      <c r="I102" s="19" t="s">
        <v>23</v>
      </c>
      <c r="J102" s="84"/>
    </row>
    <row r="103" s="60" customFormat="1" ht="42" customHeight="1" spans="1:10">
      <c r="A103" s="89">
        <v>30</v>
      </c>
      <c r="B103" s="25">
        <v>46225</v>
      </c>
      <c r="C103" s="19" t="s">
        <v>16</v>
      </c>
      <c r="D103" s="19" t="s">
        <v>17</v>
      </c>
      <c r="E103" s="20" t="s">
        <v>18</v>
      </c>
      <c r="F103" s="81"/>
      <c r="G103" s="23">
        <v>130000</v>
      </c>
      <c r="H103" s="19" t="s">
        <v>60</v>
      </c>
      <c r="I103" s="19" t="s">
        <v>64</v>
      </c>
      <c r="J103" s="84"/>
    </row>
    <row r="104" s="60" customFormat="1" ht="42" customHeight="1" spans="1:10">
      <c r="A104" s="89">
        <v>31</v>
      </c>
      <c r="B104" s="25">
        <v>46225</v>
      </c>
      <c r="C104" s="19" t="s">
        <v>33</v>
      </c>
      <c r="D104" s="19" t="s">
        <v>71</v>
      </c>
      <c r="E104" s="20" t="s">
        <v>27</v>
      </c>
      <c r="F104" s="81"/>
      <c r="G104" s="23">
        <v>120000</v>
      </c>
      <c r="H104" s="19" t="s">
        <v>60</v>
      </c>
      <c r="I104" s="19" t="s">
        <v>72</v>
      </c>
      <c r="J104" s="84"/>
    </row>
    <row r="105" s="60" customFormat="1" ht="42" customHeight="1" spans="1:10">
      <c r="A105" s="89">
        <v>32</v>
      </c>
      <c r="B105" s="25">
        <v>46225</v>
      </c>
      <c r="C105" s="19" t="s">
        <v>33</v>
      </c>
      <c r="D105" s="19" t="s">
        <v>73</v>
      </c>
      <c r="E105" s="20" t="s">
        <v>27</v>
      </c>
      <c r="F105" s="81"/>
      <c r="G105" s="23">
        <v>120000</v>
      </c>
      <c r="H105" s="19" t="s">
        <v>60</v>
      </c>
      <c r="I105" s="19" t="s">
        <v>74</v>
      </c>
      <c r="J105" s="84"/>
    </row>
    <row r="106" s="60" customFormat="1" ht="42" customHeight="1" spans="1:10">
      <c r="A106" s="89">
        <v>33</v>
      </c>
      <c r="B106" s="25">
        <v>46226</v>
      </c>
      <c r="C106" s="19" t="s">
        <v>16</v>
      </c>
      <c r="D106" s="19" t="s">
        <v>17</v>
      </c>
      <c r="E106" s="20" t="s">
        <v>18</v>
      </c>
      <c r="F106" s="81"/>
      <c r="G106" s="23">
        <v>130000</v>
      </c>
      <c r="H106" s="19" t="s">
        <v>60</v>
      </c>
      <c r="I106" s="19" t="s">
        <v>64</v>
      </c>
      <c r="J106" s="84"/>
    </row>
    <row r="107" s="60" customFormat="1" ht="42" customHeight="1" spans="1:10">
      <c r="A107" s="89">
        <v>34</v>
      </c>
      <c r="B107" s="25">
        <v>46227</v>
      </c>
      <c r="C107" s="19" t="s">
        <v>16</v>
      </c>
      <c r="D107" s="19" t="s">
        <v>17</v>
      </c>
      <c r="E107" s="20" t="s">
        <v>18</v>
      </c>
      <c r="F107" s="81"/>
      <c r="G107" s="23">
        <v>130000</v>
      </c>
      <c r="H107" s="19" t="s">
        <v>60</v>
      </c>
      <c r="I107" s="19" t="s">
        <v>64</v>
      </c>
      <c r="J107" s="84"/>
    </row>
    <row r="108" s="60" customFormat="1" ht="42" customHeight="1" spans="1:10">
      <c r="A108" s="89">
        <v>35</v>
      </c>
      <c r="B108" s="25">
        <v>46228</v>
      </c>
      <c r="C108" s="19" t="s">
        <v>16</v>
      </c>
      <c r="D108" s="19" t="s">
        <v>17</v>
      </c>
      <c r="E108" s="20" t="s">
        <v>18</v>
      </c>
      <c r="F108" s="81"/>
      <c r="G108" s="23">
        <v>130000</v>
      </c>
      <c r="H108" s="19" t="s">
        <v>60</v>
      </c>
      <c r="I108" s="19" t="s">
        <v>64</v>
      </c>
      <c r="J108" s="84"/>
    </row>
    <row r="109" s="60" customFormat="1" ht="42" customHeight="1" spans="1:10">
      <c r="A109" s="26"/>
      <c r="B109" s="18"/>
      <c r="C109" s="90"/>
      <c r="D109" s="90"/>
      <c r="E109" s="91"/>
      <c r="F109" s="92"/>
      <c r="G109" s="23"/>
      <c r="H109" s="19"/>
      <c r="I109" s="19"/>
      <c r="J109" s="84"/>
    </row>
    <row r="110" s="60" customFormat="1" ht="42" customHeight="1" spans="1:10">
      <c r="A110" s="93" t="s">
        <v>75</v>
      </c>
      <c r="B110" s="93" t="s">
        <v>76</v>
      </c>
      <c r="C110" s="94"/>
      <c r="D110" s="94"/>
      <c r="E110" s="95"/>
      <c r="F110" s="95"/>
      <c r="G110" s="87">
        <f>+SUM(G74:G108)</f>
        <v>4900000</v>
      </c>
      <c r="H110" s="88"/>
      <c r="I110" s="97" t="s">
        <v>15</v>
      </c>
      <c r="J110" s="60">
        <v>5</v>
      </c>
    </row>
    <row r="111" s="60" customFormat="1" ht="42" customHeight="1" spans="1:9">
      <c r="A111" s="89">
        <v>1</v>
      </c>
      <c r="B111" s="25">
        <v>46204</v>
      </c>
      <c r="C111" s="19" t="s">
        <v>21</v>
      </c>
      <c r="D111" s="19" t="s">
        <v>36</v>
      </c>
      <c r="E111" s="20" t="s">
        <v>18</v>
      </c>
      <c r="F111" s="92"/>
      <c r="G111" s="23">
        <v>130000</v>
      </c>
      <c r="H111" s="22" t="s">
        <v>77</v>
      </c>
      <c r="I111" s="98" t="s">
        <v>78</v>
      </c>
    </row>
    <row r="112" s="60" customFormat="1" ht="42" customHeight="1" spans="1:9">
      <c r="A112" s="26">
        <v>2</v>
      </c>
      <c r="B112" s="25">
        <v>46206</v>
      </c>
      <c r="C112" s="19" t="s">
        <v>61</v>
      </c>
      <c r="D112" s="19" t="s">
        <v>79</v>
      </c>
      <c r="E112" s="20" t="s">
        <v>27</v>
      </c>
      <c r="F112" s="92">
        <v>30000</v>
      </c>
      <c r="G112" s="23">
        <v>280000</v>
      </c>
      <c r="H112" s="22" t="s">
        <v>77</v>
      </c>
      <c r="I112" s="19" t="s">
        <v>80</v>
      </c>
    </row>
    <row r="113" s="60" customFormat="1" ht="42" customHeight="1" spans="1:9">
      <c r="A113" s="89">
        <v>3</v>
      </c>
      <c r="B113" s="25">
        <v>46211</v>
      </c>
      <c r="C113" s="19" t="s">
        <v>21</v>
      </c>
      <c r="D113" s="19" t="s">
        <v>81</v>
      </c>
      <c r="E113" s="20" t="s">
        <v>18</v>
      </c>
      <c r="F113" s="92"/>
      <c r="G113" s="23">
        <v>130000</v>
      </c>
      <c r="H113" s="22" t="s">
        <v>77</v>
      </c>
      <c r="I113" s="19" t="s">
        <v>78</v>
      </c>
    </row>
    <row r="114" s="60" customFormat="1" ht="42" customHeight="1" spans="1:9">
      <c r="A114" s="26">
        <v>4</v>
      </c>
      <c r="B114" s="25">
        <v>46217</v>
      </c>
      <c r="C114" s="19" t="s">
        <v>21</v>
      </c>
      <c r="D114" s="19" t="s">
        <v>22</v>
      </c>
      <c r="E114" s="20" t="s">
        <v>18</v>
      </c>
      <c r="F114" s="92"/>
      <c r="G114" s="23">
        <v>130000</v>
      </c>
      <c r="H114" s="22" t="s">
        <v>77</v>
      </c>
      <c r="I114" s="19" t="s">
        <v>78</v>
      </c>
    </row>
    <row r="115" s="60" customFormat="1" ht="42" customHeight="1" spans="1:9">
      <c r="A115" s="89">
        <v>5</v>
      </c>
      <c r="B115" s="25">
        <v>46218</v>
      </c>
      <c r="C115" s="19" t="s">
        <v>21</v>
      </c>
      <c r="D115" s="19" t="s">
        <v>22</v>
      </c>
      <c r="E115" s="20" t="s">
        <v>18</v>
      </c>
      <c r="F115" s="92"/>
      <c r="G115" s="23">
        <v>130000</v>
      </c>
      <c r="H115" s="22" t="s">
        <v>77</v>
      </c>
      <c r="I115" s="19" t="s">
        <v>78</v>
      </c>
    </row>
    <row r="116" s="60" customFormat="1" ht="42" customHeight="1" spans="1:9">
      <c r="A116" s="26">
        <v>6</v>
      </c>
      <c r="B116" s="25">
        <v>46220</v>
      </c>
      <c r="C116" s="19" t="s">
        <v>21</v>
      </c>
      <c r="D116" s="19" t="s">
        <v>26</v>
      </c>
      <c r="E116" s="20" t="s">
        <v>18</v>
      </c>
      <c r="F116" s="92"/>
      <c r="G116" s="23">
        <v>130000</v>
      </c>
      <c r="H116" s="22" t="s">
        <v>77</v>
      </c>
      <c r="I116" s="19" t="s">
        <v>78</v>
      </c>
    </row>
    <row r="117" s="60" customFormat="1" ht="42" customHeight="1" spans="1:9">
      <c r="A117" s="89">
        <v>7</v>
      </c>
      <c r="B117" s="25">
        <v>46221</v>
      </c>
      <c r="C117" s="19" t="s">
        <v>16</v>
      </c>
      <c r="D117" s="19" t="s">
        <v>17</v>
      </c>
      <c r="E117" s="20" t="s">
        <v>27</v>
      </c>
      <c r="F117" s="92"/>
      <c r="G117" s="23">
        <v>100000</v>
      </c>
      <c r="H117" s="22" t="s">
        <v>77</v>
      </c>
      <c r="I117" s="19" t="s">
        <v>82</v>
      </c>
    </row>
    <row r="118" s="60" customFormat="1" ht="42" customHeight="1" spans="1:9">
      <c r="A118" s="26"/>
      <c r="B118" s="18"/>
      <c r="C118" s="90"/>
      <c r="D118" s="90"/>
      <c r="E118" s="91"/>
      <c r="F118" s="92"/>
      <c r="G118" s="23"/>
      <c r="H118" s="22"/>
      <c r="I118" s="19"/>
    </row>
    <row r="119" s="60" customFormat="1" ht="42" customHeight="1" spans="1:9">
      <c r="A119" s="93" t="s">
        <v>83</v>
      </c>
      <c r="B119" s="93" t="s">
        <v>84</v>
      </c>
      <c r="C119" s="94"/>
      <c r="D119" s="94"/>
      <c r="E119" s="95"/>
      <c r="F119" s="95"/>
      <c r="G119" s="87">
        <f>+SUM(G111:G117)</f>
        <v>1030000</v>
      </c>
      <c r="H119" s="88"/>
      <c r="I119" s="97" t="s">
        <v>15</v>
      </c>
    </row>
    <row r="120" s="60" customFormat="1" ht="42" customHeight="1" spans="1:9">
      <c r="A120" s="26">
        <v>1</v>
      </c>
      <c r="B120" s="18">
        <v>46200</v>
      </c>
      <c r="C120" s="19" t="s">
        <v>85</v>
      </c>
      <c r="D120" s="19" t="s">
        <v>86</v>
      </c>
      <c r="E120" s="20" t="s">
        <v>27</v>
      </c>
      <c r="F120" s="81"/>
      <c r="G120" s="23">
        <v>100000</v>
      </c>
      <c r="H120" s="96" t="s">
        <v>87</v>
      </c>
      <c r="I120" s="19" t="s">
        <v>88</v>
      </c>
    </row>
    <row r="121" s="60" customFormat="1" ht="42" customHeight="1" spans="1:9">
      <c r="A121" s="26">
        <v>2</v>
      </c>
      <c r="B121" s="18">
        <v>46200</v>
      </c>
      <c r="C121" s="19" t="s">
        <v>85</v>
      </c>
      <c r="D121" s="19" t="s">
        <v>89</v>
      </c>
      <c r="E121" s="20" t="s">
        <v>27</v>
      </c>
      <c r="F121" s="81"/>
      <c r="G121" s="23">
        <v>100000</v>
      </c>
      <c r="H121" s="96" t="s">
        <v>87</v>
      </c>
      <c r="I121" s="19" t="s">
        <v>90</v>
      </c>
    </row>
    <row r="122" s="60" customFormat="1" ht="42" customHeight="1" spans="1:9">
      <c r="A122" s="26">
        <v>3</v>
      </c>
      <c r="B122" s="18">
        <v>46200</v>
      </c>
      <c r="C122" s="19" t="s">
        <v>21</v>
      </c>
      <c r="D122" s="19" t="s">
        <v>91</v>
      </c>
      <c r="E122" s="20" t="s">
        <v>18</v>
      </c>
      <c r="F122" s="81"/>
      <c r="G122" s="23">
        <v>130000</v>
      </c>
      <c r="H122" s="96" t="s">
        <v>92</v>
      </c>
      <c r="I122" s="19" t="s">
        <v>23</v>
      </c>
    </row>
    <row r="123" s="60" customFormat="1" ht="42" customHeight="1" spans="1:9">
      <c r="A123" s="26">
        <v>4</v>
      </c>
      <c r="B123" s="18">
        <v>46202</v>
      </c>
      <c r="C123" s="19" t="s">
        <v>16</v>
      </c>
      <c r="D123" s="19" t="s">
        <v>17</v>
      </c>
      <c r="E123" s="20" t="s">
        <v>18</v>
      </c>
      <c r="F123" s="81"/>
      <c r="G123" s="23">
        <v>130000</v>
      </c>
      <c r="H123" s="96" t="s">
        <v>93</v>
      </c>
      <c r="I123" s="19" t="s">
        <v>94</v>
      </c>
    </row>
    <row r="124" s="60" customFormat="1" ht="42" customHeight="1" spans="1:9">
      <c r="A124" s="26">
        <v>5</v>
      </c>
      <c r="B124" s="18">
        <v>46204</v>
      </c>
      <c r="C124" s="19" t="s">
        <v>21</v>
      </c>
      <c r="D124" s="19" t="s">
        <v>22</v>
      </c>
      <c r="E124" s="20" t="s">
        <v>18</v>
      </c>
      <c r="F124" s="81"/>
      <c r="G124" s="23">
        <v>130000</v>
      </c>
      <c r="H124" s="96" t="s">
        <v>87</v>
      </c>
      <c r="I124" s="19" t="s">
        <v>23</v>
      </c>
    </row>
    <row r="125" s="60" customFormat="1" ht="42" customHeight="1" spans="1:9">
      <c r="A125" s="26">
        <v>6</v>
      </c>
      <c r="B125" s="18">
        <v>46205</v>
      </c>
      <c r="C125" s="19" t="s">
        <v>33</v>
      </c>
      <c r="D125" s="19" t="s">
        <v>34</v>
      </c>
      <c r="E125" s="20" t="s">
        <v>27</v>
      </c>
      <c r="F125" s="81"/>
      <c r="G125" s="23">
        <v>380000</v>
      </c>
      <c r="H125" s="96" t="s">
        <v>46</v>
      </c>
      <c r="I125" s="19" t="s">
        <v>95</v>
      </c>
    </row>
    <row r="126" s="60" customFormat="1" ht="42" customHeight="1" spans="1:10">
      <c r="A126" s="26">
        <v>7</v>
      </c>
      <c r="B126" s="18">
        <v>46206</v>
      </c>
      <c r="C126" s="19" t="s">
        <v>21</v>
      </c>
      <c r="D126" s="19" t="s">
        <v>22</v>
      </c>
      <c r="E126" s="20" t="s">
        <v>18</v>
      </c>
      <c r="F126" s="81"/>
      <c r="G126" s="23">
        <v>130000</v>
      </c>
      <c r="H126" s="96" t="s">
        <v>87</v>
      </c>
      <c r="I126" s="19" t="s">
        <v>23</v>
      </c>
      <c r="J126" s="19"/>
    </row>
    <row r="127" s="60" customFormat="1" ht="42" customHeight="1" spans="1:9">
      <c r="A127" s="26">
        <v>8</v>
      </c>
      <c r="B127" s="18">
        <v>46211</v>
      </c>
      <c r="C127" s="19" t="s">
        <v>96</v>
      </c>
      <c r="D127" s="19" t="s">
        <v>17</v>
      </c>
      <c r="E127" s="20" t="s">
        <v>27</v>
      </c>
      <c r="F127" s="81"/>
      <c r="G127" s="23">
        <v>100000</v>
      </c>
      <c r="H127" s="96" t="s">
        <v>87</v>
      </c>
      <c r="I127" s="19" t="s">
        <v>97</v>
      </c>
    </row>
    <row r="128" s="60" customFormat="1" ht="42" customHeight="1" spans="1:9">
      <c r="A128" s="26">
        <v>9</v>
      </c>
      <c r="B128" s="18">
        <v>46214</v>
      </c>
      <c r="C128" s="19" t="s">
        <v>21</v>
      </c>
      <c r="D128" s="19" t="s">
        <v>22</v>
      </c>
      <c r="E128" s="20" t="s">
        <v>18</v>
      </c>
      <c r="F128" s="81"/>
      <c r="G128" s="23">
        <v>130000</v>
      </c>
      <c r="H128" s="96" t="s">
        <v>87</v>
      </c>
      <c r="I128" s="19" t="s">
        <v>98</v>
      </c>
    </row>
    <row r="129" s="60" customFormat="1" ht="42" customHeight="1" spans="1:9">
      <c r="A129" s="26">
        <v>10</v>
      </c>
      <c r="B129" s="18">
        <v>46217</v>
      </c>
      <c r="C129" s="19" t="s">
        <v>16</v>
      </c>
      <c r="D129" s="19" t="s">
        <v>17</v>
      </c>
      <c r="E129" s="20" t="s">
        <v>27</v>
      </c>
      <c r="F129" s="81"/>
      <c r="G129" s="23">
        <v>100000</v>
      </c>
      <c r="H129" s="96" t="s">
        <v>87</v>
      </c>
      <c r="I129" s="19" t="s">
        <v>99</v>
      </c>
    </row>
    <row r="130" s="60" customFormat="1" ht="42" customHeight="1" spans="1:9">
      <c r="A130" s="26">
        <v>11</v>
      </c>
      <c r="B130" s="18">
        <v>46217</v>
      </c>
      <c r="C130" s="19" t="s">
        <v>100</v>
      </c>
      <c r="D130" s="19" t="s">
        <v>101</v>
      </c>
      <c r="E130" s="20" t="s">
        <v>27</v>
      </c>
      <c r="F130" s="81"/>
      <c r="G130" s="23">
        <v>100000</v>
      </c>
      <c r="H130" s="96" t="s">
        <v>87</v>
      </c>
      <c r="I130" s="19" t="s">
        <v>102</v>
      </c>
    </row>
    <row r="131" s="60" customFormat="1" ht="42" customHeight="1" spans="1:9">
      <c r="A131" s="26">
        <v>12</v>
      </c>
      <c r="B131" s="18">
        <v>46219</v>
      </c>
      <c r="C131" s="19" t="s">
        <v>21</v>
      </c>
      <c r="D131" s="19" t="s">
        <v>22</v>
      </c>
      <c r="E131" s="20" t="s">
        <v>18</v>
      </c>
      <c r="F131" s="81"/>
      <c r="G131" s="23">
        <v>130000</v>
      </c>
      <c r="H131" s="96" t="s">
        <v>87</v>
      </c>
      <c r="I131" s="19" t="s">
        <v>23</v>
      </c>
    </row>
    <row r="132" s="60" customFormat="1" ht="42" customHeight="1" spans="1:9">
      <c r="A132" s="26">
        <v>13</v>
      </c>
      <c r="B132" s="18">
        <v>46221</v>
      </c>
      <c r="C132" s="19" t="s">
        <v>21</v>
      </c>
      <c r="D132" s="19" t="s">
        <v>22</v>
      </c>
      <c r="E132" s="20" t="s">
        <v>18</v>
      </c>
      <c r="F132" s="81"/>
      <c r="G132" s="23">
        <v>130000</v>
      </c>
      <c r="H132" s="96" t="s">
        <v>87</v>
      </c>
      <c r="I132" s="19" t="s">
        <v>70</v>
      </c>
    </row>
    <row r="133" s="60" customFormat="1" ht="42" customHeight="1" spans="1:9">
      <c r="A133" s="26">
        <v>14</v>
      </c>
      <c r="B133" s="18">
        <v>46223</v>
      </c>
      <c r="C133" s="19" t="s">
        <v>21</v>
      </c>
      <c r="D133" s="19" t="s">
        <v>22</v>
      </c>
      <c r="E133" s="20" t="s">
        <v>18</v>
      </c>
      <c r="F133" s="81"/>
      <c r="G133" s="23">
        <v>130000</v>
      </c>
      <c r="H133" s="96" t="s">
        <v>87</v>
      </c>
      <c r="I133" s="19" t="s">
        <v>23</v>
      </c>
    </row>
    <row r="134" s="60" customFormat="1" ht="42" customHeight="1" spans="1:9">
      <c r="A134" s="26">
        <v>22</v>
      </c>
      <c r="B134" s="18">
        <v>46228</v>
      </c>
      <c r="C134" s="19" t="s">
        <v>21</v>
      </c>
      <c r="D134" s="19" t="s">
        <v>22</v>
      </c>
      <c r="E134" s="20" t="s">
        <v>18</v>
      </c>
      <c r="F134" s="81"/>
      <c r="G134" s="23">
        <v>130000</v>
      </c>
      <c r="H134" s="96" t="s">
        <v>87</v>
      </c>
      <c r="I134" s="19" t="s">
        <v>70</v>
      </c>
    </row>
    <row r="135" s="60" customFormat="1" ht="39" customHeight="1" spans="1:10">
      <c r="A135" s="99" t="s">
        <v>103</v>
      </c>
      <c r="B135" s="99" t="s">
        <v>104</v>
      </c>
      <c r="C135" s="99"/>
      <c r="D135" s="99"/>
      <c r="E135" s="99"/>
      <c r="F135" s="99"/>
      <c r="G135" s="100">
        <f>+SUM(G120:G134)</f>
        <v>2050000</v>
      </c>
      <c r="H135" s="101"/>
      <c r="I135" s="126" t="s">
        <v>15</v>
      </c>
      <c r="J135" s="60">
        <v>8</v>
      </c>
    </row>
    <row r="136" s="60" customFormat="1" ht="39" customHeight="1" spans="1:9">
      <c r="A136" s="26">
        <v>1</v>
      </c>
      <c r="B136" s="18">
        <v>46204</v>
      </c>
      <c r="C136" s="19" t="s">
        <v>21</v>
      </c>
      <c r="D136" s="19" t="s">
        <v>22</v>
      </c>
      <c r="E136" s="20" t="s">
        <v>27</v>
      </c>
      <c r="F136" s="81"/>
      <c r="G136" s="23">
        <v>100000</v>
      </c>
      <c r="H136" s="102" t="s">
        <v>105</v>
      </c>
      <c r="I136" s="19" t="s">
        <v>106</v>
      </c>
    </row>
    <row r="137" s="60" customFormat="1" ht="39" customHeight="1" spans="1:9">
      <c r="A137" s="26">
        <v>2</v>
      </c>
      <c r="B137" s="18">
        <v>46216</v>
      </c>
      <c r="C137" s="19" t="s">
        <v>21</v>
      </c>
      <c r="D137" s="19" t="s">
        <v>22</v>
      </c>
      <c r="E137" s="20" t="s">
        <v>18</v>
      </c>
      <c r="F137" s="81"/>
      <c r="G137" s="23">
        <v>130000</v>
      </c>
      <c r="H137" s="102" t="s">
        <v>105</v>
      </c>
      <c r="I137" s="19" t="s">
        <v>107</v>
      </c>
    </row>
    <row r="138" s="60" customFormat="1" ht="39" customHeight="1" spans="1:9">
      <c r="A138" s="26">
        <v>3</v>
      </c>
      <c r="B138" s="18">
        <v>46217</v>
      </c>
      <c r="C138" s="19" t="s">
        <v>21</v>
      </c>
      <c r="D138" s="19" t="s">
        <v>22</v>
      </c>
      <c r="E138" s="20" t="s">
        <v>18</v>
      </c>
      <c r="F138" s="81"/>
      <c r="G138" s="23">
        <v>130000</v>
      </c>
      <c r="H138" s="102" t="s">
        <v>105</v>
      </c>
      <c r="I138" s="19" t="s">
        <v>107</v>
      </c>
    </row>
    <row r="139" s="60" customFormat="1" ht="39" customHeight="1" spans="1:9">
      <c r="A139" s="26">
        <v>4</v>
      </c>
      <c r="B139" s="18">
        <v>46220</v>
      </c>
      <c r="C139" s="19" t="s">
        <v>108</v>
      </c>
      <c r="D139" s="19" t="s">
        <v>109</v>
      </c>
      <c r="E139" s="20" t="s">
        <v>27</v>
      </c>
      <c r="F139" s="81"/>
      <c r="G139" s="23">
        <v>180000</v>
      </c>
      <c r="H139" s="102" t="s">
        <v>105</v>
      </c>
      <c r="I139" s="19" t="s">
        <v>110</v>
      </c>
    </row>
    <row r="140" s="60" customFormat="1" ht="39" customHeight="1" spans="1:9">
      <c r="A140" s="26">
        <v>5</v>
      </c>
      <c r="B140" s="18">
        <v>46221</v>
      </c>
      <c r="C140" s="19" t="s">
        <v>111</v>
      </c>
      <c r="D140" s="19" t="s">
        <v>112</v>
      </c>
      <c r="E140" s="20" t="s">
        <v>27</v>
      </c>
      <c r="F140" s="81"/>
      <c r="G140" s="23">
        <v>120000</v>
      </c>
      <c r="H140" s="102" t="s">
        <v>105</v>
      </c>
      <c r="I140" s="19" t="s">
        <v>113</v>
      </c>
    </row>
    <row r="141" s="60" customFormat="1" ht="39" customHeight="1" spans="1:9">
      <c r="A141" s="26">
        <v>6</v>
      </c>
      <c r="B141" s="18">
        <v>46228</v>
      </c>
      <c r="C141" s="19" t="s">
        <v>21</v>
      </c>
      <c r="D141" s="19" t="s">
        <v>22</v>
      </c>
      <c r="E141" s="20" t="s">
        <v>18</v>
      </c>
      <c r="F141" s="81"/>
      <c r="G141" s="23">
        <v>130000</v>
      </c>
      <c r="H141" s="102" t="s">
        <v>105</v>
      </c>
      <c r="I141" s="19" t="s">
        <v>114</v>
      </c>
    </row>
    <row r="142" s="60" customFormat="1" ht="39" customHeight="1" spans="1:9">
      <c r="A142" s="26"/>
      <c r="B142" s="18"/>
      <c r="C142" s="90"/>
      <c r="D142" s="103"/>
      <c r="E142" s="20"/>
      <c r="F142" s="81"/>
      <c r="G142" s="23"/>
      <c r="H142" s="102"/>
      <c r="I142" s="19"/>
    </row>
    <row r="143" s="60" customFormat="1" ht="39" customHeight="1" spans="1:9">
      <c r="A143" s="93" t="s">
        <v>115</v>
      </c>
      <c r="B143" s="104" t="s">
        <v>116</v>
      </c>
      <c r="C143" s="105"/>
      <c r="D143" s="106"/>
      <c r="E143" s="107"/>
      <c r="F143" s="108"/>
      <c r="G143" s="109">
        <f>+SUM(G136:G140)</f>
        <v>660000</v>
      </c>
      <c r="H143" s="101"/>
      <c r="I143" s="127" t="s">
        <v>15</v>
      </c>
    </row>
    <row r="144" s="61" customFormat="1" ht="39" customHeight="1" spans="1:9">
      <c r="A144" s="26">
        <v>1</v>
      </c>
      <c r="B144" s="18">
        <v>46199</v>
      </c>
      <c r="C144" s="19" t="s">
        <v>117</v>
      </c>
      <c r="D144" s="19" t="s">
        <v>118</v>
      </c>
      <c r="E144" s="20" t="s">
        <v>27</v>
      </c>
      <c r="F144" s="81"/>
      <c r="G144" s="110">
        <v>1300000</v>
      </c>
      <c r="H144" s="22" t="s">
        <v>105</v>
      </c>
      <c r="I144" s="54" t="s">
        <v>119</v>
      </c>
    </row>
    <row r="145" s="61" customFormat="1" ht="39" customHeight="1" spans="1:9">
      <c r="A145" s="26">
        <v>2</v>
      </c>
      <c r="B145" s="18">
        <v>46200</v>
      </c>
      <c r="C145" s="19" t="s">
        <v>117</v>
      </c>
      <c r="D145" s="19" t="s">
        <v>120</v>
      </c>
      <c r="E145" s="20" t="s">
        <v>18</v>
      </c>
      <c r="F145" s="81"/>
      <c r="G145" s="23">
        <v>1500000</v>
      </c>
      <c r="H145" s="24" t="s">
        <v>121</v>
      </c>
      <c r="I145" s="54" t="s">
        <v>122</v>
      </c>
    </row>
    <row r="146" s="61" customFormat="1" ht="39" customHeight="1" spans="1:9">
      <c r="A146" s="26">
        <v>3</v>
      </c>
      <c r="B146" s="25">
        <v>46206</v>
      </c>
      <c r="C146" s="19" t="s">
        <v>117</v>
      </c>
      <c r="D146" s="19" t="s">
        <v>120</v>
      </c>
      <c r="E146" s="20" t="s">
        <v>27</v>
      </c>
      <c r="F146" s="81"/>
      <c r="G146" s="23">
        <v>1300000</v>
      </c>
      <c r="H146" s="22" t="s">
        <v>121</v>
      </c>
      <c r="I146" s="54" t="s">
        <v>123</v>
      </c>
    </row>
    <row r="147" s="61" customFormat="1" ht="39" customHeight="1" spans="1:9">
      <c r="A147" s="26">
        <v>4</v>
      </c>
      <c r="B147" s="18">
        <v>46207</v>
      </c>
      <c r="C147" s="19" t="s">
        <v>117</v>
      </c>
      <c r="D147" s="19" t="s">
        <v>120</v>
      </c>
      <c r="E147" s="20" t="s">
        <v>27</v>
      </c>
      <c r="F147" s="81"/>
      <c r="G147" s="23">
        <v>1300000</v>
      </c>
      <c r="H147" s="22" t="s">
        <v>121</v>
      </c>
      <c r="I147" s="54" t="s">
        <v>124</v>
      </c>
    </row>
    <row r="148" s="61" customFormat="1" ht="39" customHeight="1" spans="1:9">
      <c r="A148" s="26">
        <v>5</v>
      </c>
      <c r="B148" s="18">
        <v>46207</v>
      </c>
      <c r="C148" s="19" t="s">
        <v>117</v>
      </c>
      <c r="D148" s="19" t="s">
        <v>118</v>
      </c>
      <c r="E148" s="20" t="s">
        <v>18</v>
      </c>
      <c r="F148" s="81"/>
      <c r="G148" s="23">
        <v>1500000</v>
      </c>
      <c r="H148" s="22" t="s">
        <v>105</v>
      </c>
      <c r="I148" s="54" t="s">
        <v>125</v>
      </c>
    </row>
    <row r="149" s="61" customFormat="1" ht="39" customHeight="1" spans="1:9">
      <c r="A149" s="26">
        <v>6</v>
      </c>
      <c r="B149" s="18">
        <v>46207</v>
      </c>
      <c r="C149" s="19" t="s">
        <v>117</v>
      </c>
      <c r="D149" s="19" t="s">
        <v>118</v>
      </c>
      <c r="E149" s="20" t="s">
        <v>18</v>
      </c>
      <c r="F149" s="81"/>
      <c r="G149" s="23">
        <v>1500000</v>
      </c>
      <c r="H149" s="22" t="s">
        <v>126</v>
      </c>
      <c r="I149" s="52" t="s">
        <v>127</v>
      </c>
    </row>
    <row r="150" s="61" customFormat="1" ht="39" customHeight="1" spans="1:9">
      <c r="A150" s="26">
        <v>7</v>
      </c>
      <c r="B150" s="18">
        <v>46214</v>
      </c>
      <c r="C150" s="19" t="s">
        <v>117</v>
      </c>
      <c r="D150" s="19" t="s">
        <v>120</v>
      </c>
      <c r="E150" s="20" t="s">
        <v>27</v>
      </c>
      <c r="F150" s="81"/>
      <c r="G150" s="23">
        <v>1300000</v>
      </c>
      <c r="H150" s="22" t="s">
        <v>128</v>
      </c>
      <c r="I150" s="53" t="s">
        <v>129</v>
      </c>
    </row>
    <row r="151" s="61" customFormat="1" ht="39" customHeight="1" spans="1:9">
      <c r="A151" s="26">
        <v>8</v>
      </c>
      <c r="B151" s="18">
        <v>46215</v>
      </c>
      <c r="C151" s="19" t="s">
        <v>117</v>
      </c>
      <c r="D151" s="19" t="s">
        <v>118</v>
      </c>
      <c r="E151" s="20" t="s">
        <v>27</v>
      </c>
      <c r="F151" s="81"/>
      <c r="G151" s="23">
        <v>1300000</v>
      </c>
      <c r="H151" s="22" t="s">
        <v>130</v>
      </c>
      <c r="I151" s="54" t="s">
        <v>131</v>
      </c>
    </row>
    <row r="152" s="61" customFormat="1" ht="39" customHeight="1" spans="1:9">
      <c r="A152" s="26">
        <v>9</v>
      </c>
      <c r="B152" s="18">
        <v>46223</v>
      </c>
      <c r="C152" s="19" t="s">
        <v>117</v>
      </c>
      <c r="D152" s="19" t="s">
        <v>118</v>
      </c>
      <c r="E152" s="20" t="s">
        <v>27</v>
      </c>
      <c r="F152" s="81"/>
      <c r="G152" s="23">
        <v>1300000</v>
      </c>
      <c r="H152" s="22" t="s">
        <v>132</v>
      </c>
      <c r="I152" s="54" t="s">
        <v>133</v>
      </c>
    </row>
    <row r="153" s="61" customFormat="1" ht="39" customHeight="1" spans="1:9">
      <c r="A153" s="26">
        <v>10</v>
      </c>
      <c r="B153" s="18">
        <v>46226</v>
      </c>
      <c r="C153" s="19" t="s">
        <v>117</v>
      </c>
      <c r="D153" s="19" t="s">
        <v>118</v>
      </c>
      <c r="E153" s="20" t="s">
        <v>27</v>
      </c>
      <c r="F153" s="81"/>
      <c r="G153" s="23">
        <v>1300000</v>
      </c>
      <c r="H153" s="22" t="s">
        <v>134</v>
      </c>
      <c r="I153" s="54" t="s">
        <v>135</v>
      </c>
    </row>
    <row r="154" s="61" customFormat="1" ht="39" customHeight="1" spans="1:9">
      <c r="A154" s="26">
        <v>11</v>
      </c>
      <c r="B154" s="18">
        <v>46228</v>
      </c>
      <c r="C154" s="19" t="s">
        <v>117</v>
      </c>
      <c r="D154" s="19" t="s">
        <v>120</v>
      </c>
      <c r="E154" s="20" t="s">
        <v>27</v>
      </c>
      <c r="F154" s="81"/>
      <c r="G154" s="23">
        <v>1300000</v>
      </c>
      <c r="H154" s="22" t="s">
        <v>136</v>
      </c>
      <c r="I154" s="54" t="s">
        <v>137</v>
      </c>
    </row>
    <row r="155" s="60" customFormat="1" ht="39" customHeight="1" spans="1:9">
      <c r="A155" s="99" t="s">
        <v>138</v>
      </c>
      <c r="B155" s="99" t="s">
        <v>139</v>
      </c>
      <c r="C155" s="99"/>
      <c r="D155" s="99"/>
      <c r="E155" s="99"/>
      <c r="F155" s="99"/>
      <c r="G155" s="100">
        <f>+SUM(G144:G153)</f>
        <v>13600000</v>
      </c>
      <c r="H155" s="101"/>
      <c r="I155" s="126"/>
    </row>
    <row r="156" s="62" customFormat="1" ht="54" customHeight="1" spans="1:9">
      <c r="A156" s="93" t="s">
        <v>140</v>
      </c>
      <c r="B156" s="94"/>
      <c r="C156" s="94"/>
      <c r="D156" s="94"/>
      <c r="E156" s="95"/>
      <c r="F156" s="75"/>
      <c r="G156" s="111">
        <f>G73+G110+G119+G135+G143+G155</f>
        <v>30630000</v>
      </c>
      <c r="H156" s="112"/>
      <c r="I156" s="126"/>
    </row>
    <row r="157" s="62" customFormat="1" ht="50.25" customHeight="1" spans="1:9">
      <c r="A157" s="113"/>
      <c r="B157" s="114"/>
      <c r="C157" s="114"/>
      <c r="D157" s="114"/>
      <c r="E157" s="114"/>
      <c r="F157" s="114"/>
      <c r="G157" s="115"/>
      <c r="H157" s="116"/>
      <c r="I157" s="116"/>
    </row>
    <row r="158" ht="66" customHeight="1" spans="1:9">
      <c r="A158" s="117"/>
      <c r="B158" s="118" t="s">
        <v>141</v>
      </c>
      <c r="C158" s="118"/>
      <c r="D158" s="118"/>
      <c r="E158" s="118" t="s">
        <v>142</v>
      </c>
      <c r="F158" s="118"/>
      <c r="G158" s="118"/>
      <c r="H158" s="118"/>
      <c r="I158" s="118"/>
    </row>
    <row r="159" s="62" customFormat="1" hidden="1" spans="1:9">
      <c r="A159" s="63"/>
      <c r="B159" s="64"/>
      <c r="C159" s="64"/>
      <c r="D159" s="64"/>
      <c r="E159" s="64"/>
      <c r="F159" s="64"/>
      <c r="G159" s="65"/>
      <c r="H159" s="66"/>
      <c r="I159" s="66"/>
    </row>
    <row r="160" s="62" customFormat="1" hidden="1" spans="1:9">
      <c r="A160" s="63"/>
      <c r="B160" s="64"/>
      <c r="C160" s="64"/>
      <c r="D160" s="64"/>
      <c r="E160" s="64"/>
      <c r="F160" s="64"/>
      <c r="G160" s="65"/>
      <c r="H160" s="66"/>
      <c r="I160" s="66"/>
    </row>
    <row r="161" s="62" customFormat="1" hidden="1" spans="1:9">
      <c r="A161" s="63"/>
      <c r="B161" s="64"/>
      <c r="C161" s="64"/>
      <c r="D161" s="64"/>
      <c r="E161" s="64"/>
      <c r="F161" s="64"/>
      <c r="G161" s="65"/>
      <c r="H161" s="66"/>
      <c r="I161" s="66"/>
    </row>
    <row r="162" s="62" customFormat="1" ht="18.75" spans="1:9">
      <c r="A162" s="63"/>
      <c r="B162" s="64"/>
      <c r="C162" s="119"/>
      <c r="D162" s="119"/>
      <c r="E162" s="119"/>
      <c r="F162" s="119"/>
      <c r="G162" s="120"/>
      <c r="H162" s="121"/>
      <c r="I162" s="128"/>
    </row>
    <row r="163" s="62" customFormat="1" spans="1:9">
      <c r="A163" s="63"/>
      <c r="B163" s="64"/>
      <c r="C163" s="122"/>
      <c r="D163" s="122"/>
      <c r="E163" s="123"/>
      <c r="F163" s="123"/>
      <c r="G163" s="122"/>
      <c r="H163" s="122"/>
      <c r="I163" s="129"/>
    </row>
    <row r="164" s="62" customFormat="1" spans="1:9">
      <c r="A164" s="63"/>
      <c r="B164" s="64"/>
      <c r="C164" s="64"/>
      <c r="D164" s="64"/>
      <c r="E164" s="64"/>
      <c r="F164" s="64"/>
      <c r="G164" s="124"/>
      <c r="H164" s="125"/>
      <c r="I164" s="130"/>
    </row>
    <row r="165" spans="7:9">
      <c r="G165" s="124"/>
      <c r="H165" s="125"/>
      <c r="I165" s="130"/>
    </row>
  </sheetData>
  <autoFilter ref="A8:K156">
    <extLst/>
  </autoFilter>
  <mergeCells count="18">
    <mergeCell ref="A1:E1"/>
    <mergeCell ref="H1:I1"/>
    <mergeCell ref="H2:I2"/>
    <mergeCell ref="A4:I4"/>
    <mergeCell ref="A5:I5"/>
    <mergeCell ref="A6:I6"/>
    <mergeCell ref="A7:I7"/>
    <mergeCell ref="B73:E73"/>
    <mergeCell ref="B110:E110"/>
    <mergeCell ref="B119:E119"/>
    <mergeCell ref="B135:E135"/>
    <mergeCell ref="B143:D143"/>
    <mergeCell ref="B155:E155"/>
    <mergeCell ref="A156:E156"/>
    <mergeCell ref="B158:D158"/>
    <mergeCell ref="E158:H158"/>
    <mergeCell ref="C163:D163"/>
    <mergeCell ref="G163:H163"/>
  </mergeCells>
  <pageMargins left="0.17" right="0.17" top="0.748031496062992" bottom="0.748031496062992" header="0.31496062992126" footer="0.31496062992126"/>
  <pageSetup paperSize="9" scale="31" fitToWidth="0" fitToHeight="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view="pageBreakPreview" zoomScale="60" zoomScaleNormal="100" zoomScaleSheetLayoutView="60" workbookViewId="0">
      <selection activeCell="I16" sqref="I16"/>
    </sheetView>
  </sheetViews>
  <sheetFormatPr defaultColWidth="9" defaultRowHeight="15.75"/>
  <cols>
    <col min="1" max="1" width="9.85714285714286" style="3" customWidth="1"/>
    <col min="2" max="2" width="18.2857142857143" style="3" customWidth="1"/>
    <col min="3" max="3" width="19.5714285714286" style="3" customWidth="1"/>
    <col min="4" max="4" width="32.5714285714286" style="3" customWidth="1"/>
    <col min="5" max="5" width="18.2857142857143" style="3" customWidth="1"/>
    <col min="6" max="6" width="23.2857142857143" style="3" customWidth="1"/>
    <col min="7" max="7" width="22.8571428571429" style="3" customWidth="1"/>
    <col min="8" max="8" width="26.5714285714286" style="3" customWidth="1"/>
    <col min="9" max="9" width="54.7142857142857" style="3" customWidth="1"/>
    <col min="10" max="10" width="5.42857142857143" style="3" customWidth="1"/>
    <col min="11" max="16" width="9.14285714285714" style="3" hidden="1" customWidth="1"/>
    <col min="17" max="16384" width="9.14285714285714" style="3"/>
  </cols>
  <sheetData>
    <row r="1" ht="21" spans="1:8">
      <c r="A1" s="4" t="s">
        <v>0</v>
      </c>
      <c r="B1" s="4"/>
      <c r="C1" s="4"/>
      <c r="D1" s="4"/>
      <c r="E1" s="4"/>
      <c r="F1" s="5"/>
      <c r="G1" s="6"/>
      <c r="H1" s="6"/>
    </row>
    <row r="2" ht="21" spans="1:8">
      <c r="A2" s="7" t="s">
        <v>1</v>
      </c>
      <c r="B2" s="8"/>
      <c r="C2" s="8"/>
      <c r="D2" s="8"/>
      <c r="E2" s="9"/>
      <c r="F2" s="5"/>
      <c r="G2" s="10"/>
      <c r="H2" s="10"/>
    </row>
    <row r="3" ht="21" spans="1:8">
      <c r="A3" s="7" t="s">
        <v>2</v>
      </c>
      <c r="B3" s="8"/>
      <c r="C3" s="8"/>
      <c r="D3" s="8"/>
      <c r="E3" s="9"/>
      <c r="F3" s="5"/>
      <c r="G3" s="10"/>
      <c r="H3" s="10"/>
    </row>
    <row r="4" ht="26.25" spans="1:8">
      <c r="A4" s="11" t="s">
        <v>3</v>
      </c>
      <c r="B4" s="11"/>
      <c r="C4" s="11"/>
      <c r="D4" s="11"/>
      <c r="E4" s="11"/>
      <c r="F4" s="11"/>
      <c r="G4" s="11"/>
      <c r="H4" s="11"/>
    </row>
    <row r="5" ht="34.5" customHeight="1" spans="1:8">
      <c r="A5" s="12" t="s">
        <v>4</v>
      </c>
      <c r="B5" s="12"/>
      <c r="C5" s="12"/>
      <c r="D5" s="12"/>
      <c r="E5" s="12"/>
      <c r="F5" s="12"/>
      <c r="G5" s="12"/>
      <c r="H5" s="12"/>
    </row>
    <row r="6" ht="36" customHeight="1" spans="1:8">
      <c r="A6" s="13" t="s">
        <v>143</v>
      </c>
      <c r="B6" s="13"/>
      <c r="C6" s="13"/>
      <c r="D6" s="13"/>
      <c r="E6" s="13"/>
      <c r="F6" s="13"/>
      <c r="G6" s="13"/>
      <c r="H6" s="13"/>
    </row>
    <row r="7" ht="21" spans="1:8">
      <c r="A7" s="12" t="s">
        <v>6</v>
      </c>
      <c r="B7" s="12"/>
      <c r="C7" s="12"/>
      <c r="D7" s="12"/>
      <c r="E7" s="12"/>
      <c r="F7" s="12"/>
      <c r="G7" s="12"/>
      <c r="H7" s="12"/>
    </row>
    <row r="8" s="1" customFormat="1" ht="37.5" spans="1:9">
      <c r="A8" s="14" t="s">
        <v>7</v>
      </c>
      <c r="B8" s="15" t="s">
        <v>8</v>
      </c>
      <c r="C8" s="15" t="s">
        <v>9</v>
      </c>
      <c r="D8" s="15" t="s">
        <v>10</v>
      </c>
      <c r="E8" s="15" t="s">
        <v>11</v>
      </c>
      <c r="F8" s="16" t="s">
        <v>13</v>
      </c>
      <c r="G8" s="15" t="s">
        <v>14</v>
      </c>
      <c r="H8" s="15" t="s">
        <v>15</v>
      </c>
      <c r="I8" s="15" t="s">
        <v>144</v>
      </c>
    </row>
    <row r="9" s="2" customFormat="1" ht="47.25" customHeight="1" spans="1:9">
      <c r="A9" s="17">
        <v>1</v>
      </c>
      <c r="B9" s="18">
        <v>46199</v>
      </c>
      <c r="C9" s="19" t="s">
        <v>145</v>
      </c>
      <c r="D9" s="19" t="s">
        <v>118</v>
      </c>
      <c r="E9" s="20" t="s">
        <v>27</v>
      </c>
      <c r="F9" s="21">
        <v>1300000</v>
      </c>
      <c r="G9" s="22" t="s">
        <v>105</v>
      </c>
      <c r="H9" s="22" t="s">
        <v>146</v>
      </c>
      <c r="I9" s="52" t="s">
        <v>147</v>
      </c>
    </row>
    <row r="10" s="1" customFormat="1" ht="47.25" customHeight="1" spans="1:9">
      <c r="A10" s="17">
        <v>2</v>
      </c>
      <c r="B10" s="18">
        <v>46200</v>
      </c>
      <c r="C10" s="19" t="s">
        <v>145</v>
      </c>
      <c r="D10" s="19" t="s">
        <v>120</v>
      </c>
      <c r="E10" s="20" t="s">
        <v>18</v>
      </c>
      <c r="F10" s="23">
        <v>1500000</v>
      </c>
      <c r="G10" s="24" t="s">
        <v>121</v>
      </c>
      <c r="H10" s="24" t="s">
        <v>148</v>
      </c>
      <c r="I10" s="52" t="s">
        <v>149</v>
      </c>
    </row>
    <row r="11" s="1" customFormat="1" ht="47.25" customHeight="1" spans="1:9">
      <c r="A11" s="17">
        <v>3</v>
      </c>
      <c r="B11" s="25">
        <v>46206</v>
      </c>
      <c r="C11" s="19" t="s">
        <v>117</v>
      </c>
      <c r="D11" s="19" t="s">
        <v>120</v>
      </c>
      <c r="E11" s="20" t="s">
        <v>27</v>
      </c>
      <c r="F11" s="23">
        <v>1300000</v>
      </c>
      <c r="G11" s="22" t="s">
        <v>121</v>
      </c>
      <c r="H11" s="24" t="s">
        <v>148</v>
      </c>
      <c r="I11" s="52" t="s">
        <v>150</v>
      </c>
    </row>
    <row r="12" s="1" customFormat="1" ht="47.25" customHeight="1" spans="1:9">
      <c r="A12" s="17">
        <v>4</v>
      </c>
      <c r="B12" s="18">
        <v>46207</v>
      </c>
      <c r="C12" s="19" t="s">
        <v>117</v>
      </c>
      <c r="D12" s="19" t="s">
        <v>120</v>
      </c>
      <c r="E12" s="20" t="s">
        <v>27</v>
      </c>
      <c r="F12" s="23">
        <v>1300000</v>
      </c>
      <c r="G12" s="22" t="s">
        <v>121</v>
      </c>
      <c r="H12" s="24" t="s">
        <v>148</v>
      </c>
      <c r="I12" s="52" t="s">
        <v>151</v>
      </c>
    </row>
    <row r="13" s="1" customFormat="1" ht="47.25" customHeight="1" spans="1:9">
      <c r="A13" s="17">
        <v>5</v>
      </c>
      <c r="B13" s="18">
        <v>46207</v>
      </c>
      <c r="C13" s="19" t="s">
        <v>117</v>
      </c>
      <c r="D13" s="19" t="s">
        <v>118</v>
      </c>
      <c r="E13" s="20" t="s">
        <v>18</v>
      </c>
      <c r="F13" s="23">
        <v>1500000</v>
      </c>
      <c r="G13" s="22" t="s">
        <v>105</v>
      </c>
      <c r="H13" s="22" t="s">
        <v>152</v>
      </c>
      <c r="I13" s="52" t="s">
        <v>153</v>
      </c>
    </row>
    <row r="14" s="1" customFormat="1" ht="47.25" customHeight="1" spans="1:9">
      <c r="A14" s="17">
        <v>6</v>
      </c>
      <c r="B14" s="18">
        <v>46207</v>
      </c>
      <c r="C14" s="19" t="s">
        <v>117</v>
      </c>
      <c r="D14" s="19" t="s">
        <v>118</v>
      </c>
      <c r="E14" s="20" t="s">
        <v>18</v>
      </c>
      <c r="F14" s="23">
        <v>1500000</v>
      </c>
      <c r="G14" s="22" t="s">
        <v>126</v>
      </c>
      <c r="H14" s="22" t="s">
        <v>152</v>
      </c>
      <c r="I14" s="52" t="s">
        <v>154</v>
      </c>
    </row>
    <row r="15" s="1" customFormat="1" ht="47.25" customHeight="1" spans="1:9">
      <c r="A15" s="17">
        <v>7</v>
      </c>
      <c r="B15" s="18">
        <v>46214</v>
      </c>
      <c r="C15" s="19" t="s">
        <v>117</v>
      </c>
      <c r="D15" s="19" t="s">
        <v>120</v>
      </c>
      <c r="E15" s="20" t="s">
        <v>27</v>
      </c>
      <c r="F15" s="23">
        <v>1300000</v>
      </c>
      <c r="G15" s="22" t="s">
        <v>155</v>
      </c>
      <c r="H15" s="22" t="s">
        <v>148</v>
      </c>
      <c r="I15" s="53" t="s">
        <v>156</v>
      </c>
    </row>
    <row r="16" s="1" customFormat="1" ht="47.25" customHeight="1" spans="1:9">
      <c r="A16" s="17">
        <v>8</v>
      </c>
      <c r="B16" s="18">
        <v>46215</v>
      </c>
      <c r="C16" s="19" t="s">
        <v>117</v>
      </c>
      <c r="D16" s="19" t="s">
        <v>118</v>
      </c>
      <c r="E16" s="20" t="s">
        <v>27</v>
      </c>
      <c r="F16" s="23">
        <v>1300000</v>
      </c>
      <c r="G16" s="22" t="s">
        <v>130</v>
      </c>
      <c r="H16" s="22" t="s">
        <v>152</v>
      </c>
      <c r="I16" s="52" t="s">
        <v>157</v>
      </c>
    </row>
    <row r="17" s="1" customFormat="1" ht="47.25" customHeight="1" spans="1:9">
      <c r="A17" s="26">
        <v>9</v>
      </c>
      <c r="B17" s="18">
        <v>46223</v>
      </c>
      <c r="C17" s="19" t="s">
        <v>117</v>
      </c>
      <c r="D17" s="19" t="s">
        <v>118</v>
      </c>
      <c r="E17" s="20" t="s">
        <v>27</v>
      </c>
      <c r="F17" s="27">
        <v>1300000</v>
      </c>
      <c r="G17" s="28" t="s">
        <v>158</v>
      </c>
      <c r="H17" s="22" t="s">
        <v>159</v>
      </c>
      <c r="I17" s="52" t="s">
        <v>160</v>
      </c>
    </row>
    <row r="18" s="1" customFormat="1" ht="47.25" customHeight="1" spans="1:9">
      <c r="A18" s="17">
        <v>10</v>
      </c>
      <c r="B18" s="18">
        <v>46226</v>
      </c>
      <c r="C18" s="19" t="s">
        <v>117</v>
      </c>
      <c r="D18" s="19" t="s">
        <v>118</v>
      </c>
      <c r="E18" s="20" t="s">
        <v>27</v>
      </c>
      <c r="F18" s="27">
        <v>1300000</v>
      </c>
      <c r="G18" s="28" t="s">
        <v>134</v>
      </c>
      <c r="H18" s="22" t="s">
        <v>161</v>
      </c>
      <c r="I18" s="52" t="s">
        <v>162</v>
      </c>
    </row>
    <row r="19" s="1" customFormat="1" ht="47.25" customHeight="1" spans="1:15">
      <c r="A19" s="26">
        <v>11</v>
      </c>
      <c r="B19" s="18">
        <v>46228</v>
      </c>
      <c r="C19" s="19" t="s">
        <v>117</v>
      </c>
      <c r="D19" s="19" t="s">
        <v>120</v>
      </c>
      <c r="E19" s="20" t="s">
        <v>27</v>
      </c>
      <c r="F19" s="27">
        <v>1300000</v>
      </c>
      <c r="G19" s="28" t="s">
        <v>136</v>
      </c>
      <c r="H19" s="22" t="s">
        <v>163</v>
      </c>
      <c r="I19" s="54" t="s">
        <v>164</v>
      </c>
      <c r="O19" s="1" t="s">
        <v>165</v>
      </c>
    </row>
    <row r="20" s="1" customFormat="1" ht="47.25" customHeight="1" spans="1:9">
      <c r="A20" s="29" t="s">
        <v>138</v>
      </c>
      <c r="B20" s="29" t="s">
        <v>166</v>
      </c>
      <c r="C20" s="29"/>
      <c r="D20" s="29"/>
      <c r="E20" s="29"/>
      <c r="F20" s="30">
        <f>SUM(F9:F19)</f>
        <v>14900000</v>
      </c>
      <c r="G20" s="31"/>
      <c r="H20" s="31"/>
      <c r="I20" s="55"/>
    </row>
    <row r="21" s="1" customFormat="1" ht="18.75" spans="1:9">
      <c r="A21" s="32"/>
      <c r="B21" s="33"/>
      <c r="C21" s="33"/>
      <c r="D21" s="33"/>
      <c r="E21" s="33"/>
      <c r="F21" s="34"/>
      <c r="G21" s="35"/>
      <c r="H21" s="35"/>
      <c r="I21" s="56"/>
    </row>
    <row r="22" s="1" customFormat="1" ht="19.5" customHeight="1" spans="1:9">
      <c r="A22" s="36"/>
      <c r="B22" s="37" t="s">
        <v>141</v>
      </c>
      <c r="C22" s="37"/>
      <c r="D22" s="37"/>
      <c r="E22" s="37" t="s">
        <v>142</v>
      </c>
      <c r="F22" s="37"/>
      <c r="G22" s="37"/>
      <c r="H22" s="37"/>
      <c r="I22" s="57"/>
    </row>
    <row r="23" spans="1:9">
      <c r="A23" s="38"/>
      <c r="B23" s="39"/>
      <c r="C23" s="39"/>
      <c r="D23" s="39"/>
      <c r="E23" s="39"/>
      <c r="F23" s="40"/>
      <c r="G23" s="41"/>
      <c r="H23" s="41"/>
      <c r="I23" s="57"/>
    </row>
    <row r="24" spans="1:9">
      <c r="A24" s="38"/>
      <c r="B24" s="39"/>
      <c r="C24" s="39"/>
      <c r="D24" s="39"/>
      <c r="E24" s="39"/>
      <c r="F24" s="40"/>
      <c r="G24" s="41"/>
      <c r="H24" s="41"/>
      <c r="I24" s="57"/>
    </row>
    <row r="25" spans="1:9">
      <c r="A25" s="38"/>
      <c r="B25" s="39"/>
      <c r="C25" s="39"/>
      <c r="D25" s="39"/>
      <c r="E25" s="39"/>
      <c r="F25" s="40"/>
      <c r="G25" s="41"/>
      <c r="H25" s="41"/>
      <c r="I25" s="57"/>
    </row>
    <row r="26" spans="1:9">
      <c r="A26" s="38"/>
      <c r="B26" s="39"/>
      <c r="C26" s="42"/>
      <c r="D26" s="42"/>
      <c r="E26" s="42"/>
      <c r="F26" s="43"/>
      <c r="G26" s="44"/>
      <c r="H26" s="45"/>
      <c r="I26" s="57"/>
    </row>
    <row r="27" spans="1:9">
      <c r="A27" s="38"/>
      <c r="B27" s="39"/>
      <c r="C27" s="46"/>
      <c r="D27" s="46"/>
      <c r="E27" s="47"/>
      <c r="F27" s="46"/>
      <c r="G27" s="46"/>
      <c r="H27" s="48"/>
      <c r="I27" s="57"/>
    </row>
    <row r="28" spans="1:9">
      <c r="A28" s="38"/>
      <c r="B28" s="39"/>
      <c r="C28" s="39"/>
      <c r="D28" s="39"/>
      <c r="E28" s="39"/>
      <c r="F28" s="49"/>
      <c r="G28" s="50"/>
      <c r="H28" s="51"/>
      <c r="I28" s="57"/>
    </row>
    <row r="29" spans="1:9">
      <c r="A29" s="38"/>
      <c r="B29" s="39"/>
      <c r="C29" s="39"/>
      <c r="D29" s="39"/>
      <c r="E29" s="39"/>
      <c r="F29" s="49"/>
      <c r="G29" s="50"/>
      <c r="H29" s="51"/>
      <c r="I29" s="57"/>
    </row>
    <row r="30" spans="9:9">
      <c r="I30" s="57"/>
    </row>
  </sheetData>
  <mergeCells count="11">
    <mergeCell ref="G2:H2"/>
    <mergeCell ref="A4:H4"/>
    <mergeCell ref="A5:H5"/>
    <mergeCell ref="A6:H6"/>
    <mergeCell ref="A7:H7"/>
    <mergeCell ref="B20:E20"/>
    <mergeCell ref="B22:D22"/>
    <mergeCell ref="E22:G22"/>
    <mergeCell ref="C27:D27"/>
    <mergeCell ref="F27:G27"/>
    <mergeCell ref="I21:I30"/>
  </mergeCells>
  <pageMargins left="0.7" right="0.7" top="0.75" bottom="0.75" header="0.3" footer="0.3"/>
  <pageSetup paperSize="1" scale="4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BINH AN 08</vt:lpstr>
      <vt:lpstr>HỮU NGHỊ BÌNH 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2025-08-26T09:58:00Z</dcterms:created>
  <cp:lastPrinted>2026-06-26T15:45:00Z</cp:lastPrinted>
  <dcterms:modified xsi:type="dcterms:W3CDTF">2026-07-29T07:33:23Z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